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AA6B9EF0-A7B4-45FA-A012-F1B006F613AB}" xr6:coauthVersionLast="47" xr6:coauthVersionMax="47" xr10:uidLastSave="{00000000-0000-0000-0000-000000000000}"/>
  <bookViews>
    <workbookView xWindow="28680" yWindow="-120" windowWidth="29040" windowHeight="15720" xr2:uid="{E8A07608-6287-44CA-9365-CC6DA525F021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N115" i="1" s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N69" i="1" s="1"/>
  <c r="AX67" i="1"/>
  <c r="AV67" i="1"/>
  <c r="AU67" i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N38" i="1" s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68" i="1" l="1"/>
  <c r="AN161" i="1"/>
  <c r="AY154" i="1"/>
  <c r="AY135" i="1"/>
  <c r="AY133" i="1"/>
  <c r="AY132" i="1"/>
  <c r="AY127" i="1"/>
  <c r="AY118" i="1"/>
  <c r="AY109" i="1"/>
  <c r="AY83" i="1"/>
  <c r="AY79" i="1"/>
  <c r="AY70" i="1"/>
  <c r="AY58" i="1"/>
  <c r="AY53" i="1"/>
  <c r="AZ53" i="1" s="1"/>
  <c r="AY69" i="1"/>
  <c r="AY62" i="1"/>
  <c r="AY42" i="1"/>
  <c r="AY27" i="1"/>
  <c r="AY147" i="1"/>
  <c r="AY138" i="1"/>
  <c r="AY122" i="1"/>
  <c r="AY119" i="1"/>
  <c r="AY117" i="1"/>
  <c r="AY116" i="1"/>
  <c r="AY112" i="1"/>
  <c r="AY105" i="1"/>
  <c r="AY89" i="1"/>
  <c r="AY87" i="1"/>
  <c r="AY84" i="1"/>
  <c r="AY80" i="1"/>
  <c r="AY74" i="1"/>
  <c r="AY68" i="1"/>
  <c r="AY66" i="1"/>
  <c r="AY60" i="1"/>
  <c r="AY44" i="1"/>
  <c r="AY90" i="1"/>
  <c r="AY77" i="1"/>
  <c r="AY75" i="1"/>
  <c r="AY71" i="1"/>
  <c r="AY59" i="1"/>
  <c r="AY57" i="1"/>
  <c r="AY39" i="1"/>
  <c r="AY150" i="1"/>
  <c r="AY143" i="1"/>
  <c r="AY137" i="1"/>
  <c r="AY130" i="1"/>
  <c r="AY115" i="1"/>
  <c r="AY94" i="1"/>
  <c r="AY88" i="1"/>
  <c r="AY82" i="1"/>
  <c r="AY78" i="1"/>
  <c r="AY65" i="1"/>
  <c r="AY63" i="1"/>
  <c r="AY54" i="1"/>
  <c r="AY28" i="1"/>
  <c r="AY61" i="1"/>
  <c r="AY56" i="1"/>
  <c r="AY52" i="1"/>
  <c r="AY45" i="1"/>
  <c r="AY41" i="1"/>
  <c r="AY35" i="1"/>
  <c r="AY25" i="1"/>
  <c r="AY55" i="1"/>
  <c r="AY134" i="1"/>
  <c r="AN96" i="1"/>
  <c r="AN80" i="1"/>
  <c r="AN165" i="1"/>
  <c r="AN164" i="1"/>
  <c r="AN153" i="1"/>
  <c r="AN138" i="1"/>
  <c r="AN133" i="1"/>
  <c r="AN110" i="1"/>
  <c r="AN105" i="1"/>
  <c r="AN99" i="1"/>
  <c r="AN97" i="1"/>
  <c r="AN95" i="1"/>
  <c r="AN73" i="1"/>
  <c r="AN60" i="1"/>
  <c r="AN46" i="1"/>
  <c r="AN37" i="1"/>
  <c r="AN29" i="1"/>
  <c r="AN23" i="1"/>
  <c r="AN30" i="1"/>
  <c r="AN108" i="1"/>
  <c r="AN93" i="1"/>
  <c r="AN75" i="1"/>
  <c r="AN74" i="1"/>
  <c r="AN56" i="1"/>
  <c r="AN54" i="1"/>
  <c r="AN41" i="1"/>
  <c r="AN28" i="1"/>
  <c r="AN67" i="1"/>
  <c r="AN51" i="1"/>
  <c r="AN48" i="1"/>
  <c r="AN101" i="1"/>
  <c r="AN100" i="1"/>
  <c r="AN98" i="1"/>
  <c r="AN83" i="1"/>
  <c r="AN47" i="1"/>
  <c r="AN157" i="1"/>
  <c r="AN147" i="1"/>
  <c r="AN132" i="1"/>
  <c r="AN125" i="1"/>
  <c r="AN114" i="1"/>
  <c r="AN113" i="1"/>
  <c r="AN111" i="1"/>
  <c r="AN92" i="1"/>
  <c r="AN81" i="1"/>
  <c r="AN70" i="1"/>
  <c r="AN53" i="1"/>
  <c r="AN52" i="1"/>
  <c r="AN44" i="1"/>
  <c r="AN34" i="1"/>
  <c r="AN33" i="1"/>
  <c r="AN58" i="1"/>
  <c r="AN36" i="1"/>
  <c r="AN43" i="1"/>
  <c r="AN143" i="1"/>
  <c r="AN131" i="1"/>
  <c r="AN64" i="1"/>
  <c r="AN57" i="1"/>
  <c r="AY91" i="1"/>
  <c r="AN106" i="1"/>
  <c r="AN76" i="1"/>
  <c r="AN45" i="1"/>
  <c r="AN63" i="1"/>
  <c r="AN152" i="1"/>
  <c r="AN129" i="1"/>
  <c r="AN104" i="1"/>
  <c r="AN72" i="1"/>
  <c r="AY164" i="1"/>
  <c r="AN134" i="1"/>
  <c r="AN65" i="1"/>
  <c r="AN173" i="1"/>
  <c r="AY161" i="1"/>
  <c r="AY121" i="1"/>
  <c r="AY23" i="1"/>
  <c r="AN103" i="1"/>
  <c r="AY175" i="1"/>
  <c r="AN146" i="1"/>
  <c r="AY141" i="1"/>
  <c r="AZ176" i="1"/>
  <c r="BA176" i="1"/>
  <c r="AW176" i="1"/>
  <c r="AP176" i="1"/>
  <c r="AO176" i="1"/>
  <c r="AQ176" i="1" s="1"/>
  <c r="AL176" i="1"/>
  <c r="AP174" i="1"/>
  <c r="AO174" i="1"/>
  <c r="AQ174" i="1" s="1"/>
  <c r="AL174" i="1"/>
  <c r="AN175" i="1" s="1"/>
  <c r="AL173" i="1"/>
  <c r="AO173" i="1"/>
  <c r="AP173" i="1"/>
  <c r="BA172" i="1"/>
  <c r="AZ172" i="1"/>
  <c r="BB172" i="1" s="1"/>
  <c r="AW172" i="1"/>
  <c r="AY173" i="1" s="1"/>
  <c r="AO172" i="1"/>
  <c r="AP172" i="1"/>
  <c r="AL172" i="1"/>
  <c r="BA171" i="1"/>
  <c r="AZ171" i="1"/>
  <c r="BB171" i="1" s="1"/>
  <c r="AW171" i="1"/>
  <c r="BA170" i="1"/>
  <c r="AZ170" i="1"/>
  <c r="BB170" i="1" s="1"/>
  <c r="AW170" i="1"/>
  <c r="AP169" i="1"/>
  <c r="AO169" i="1"/>
  <c r="AQ169" i="1" s="1"/>
  <c r="AL169" i="1"/>
  <c r="AN170" i="1" s="1"/>
  <c r="AW168" i="1"/>
  <c r="AY169" i="1" s="1"/>
  <c r="BA168" i="1"/>
  <c r="AZ168" i="1"/>
  <c r="BB168" i="1" s="1"/>
  <c r="BA167" i="1"/>
  <c r="AW167" i="1"/>
  <c r="AZ167" i="1"/>
  <c r="BB167" i="1" s="1"/>
  <c r="AZ166" i="1"/>
  <c r="AW166" i="1"/>
  <c r="BA166" i="1"/>
  <c r="AW165" i="1"/>
  <c r="BA165" i="1"/>
  <c r="AZ165" i="1"/>
  <c r="BB165" i="1" s="1"/>
  <c r="AL165" i="1"/>
  <c r="AN166" i="1" s="1"/>
  <c r="AP165" i="1"/>
  <c r="AO165" i="1"/>
  <c r="AQ165" i="1" s="1"/>
  <c r="AZ164" i="1"/>
  <c r="BA164" i="1"/>
  <c r="AW164" i="1"/>
  <c r="AL164" i="1"/>
  <c r="AO164" i="1"/>
  <c r="AP164" i="1"/>
  <c r="AZ163" i="1"/>
  <c r="AW163" i="1"/>
  <c r="BA163" i="1"/>
  <c r="AO163" i="1"/>
  <c r="AP163" i="1"/>
  <c r="AL163" i="1"/>
  <c r="AW162" i="1"/>
  <c r="BA162" i="1"/>
  <c r="AZ162" i="1"/>
  <c r="BB162" i="1" s="1"/>
  <c r="AO162" i="1"/>
  <c r="AP162" i="1"/>
  <c r="AL162" i="1"/>
  <c r="AZ161" i="1"/>
  <c r="AW161" i="1"/>
  <c r="BA161" i="1"/>
  <c r="AL161" i="1"/>
  <c r="AP161" i="1"/>
  <c r="AO161" i="1"/>
  <c r="AQ161" i="1" s="1"/>
  <c r="BA160" i="1"/>
  <c r="AW160" i="1"/>
  <c r="AZ160" i="1"/>
  <c r="BB160" i="1" s="1"/>
  <c r="BA159" i="1"/>
  <c r="AW159" i="1"/>
  <c r="AZ159" i="1"/>
  <c r="BB159" i="1" s="1"/>
  <c r="AL159" i="1"/>
  <c r="AN160" i="1" s="1"/>
  <c r="AO159" i="1"/>
  <c r="AP159" i="1"/>
  <c r="BA158" i="1"/>
  <c r="AW158" i="1"/>
  <c r="AZ158" i="1"/>
  <c r="BB158" i="1" s="1"/>
  <c r="AO158" i="1"/>
  <c r="AP158" i="1"/>
  <c r="AL158" i="1"/>
  <c r="BA157" i="1"/>
  <c r="AW157" i="1"/>
  <c r="AZ157" i="1"/>
  <c r="BB157" i="1" s="1"/>
  <c r="AL157" i="1"/>
  <c r="AO157" i="1"/>
  <c r="AP157" i="1"/>
  <c r="AZ156" i="1"/>
  <c r="AW156" i="1"/>
  <c r="BA156" i="1"/>
  <c r="AW155" i="1"/>
  <c r="AZ155" i="1"/>
  <c r="BA155" i="1"/>
  <c r="AP155" i="1"/>
  <c r="AL155" i="1"/>
  <c r="AN156" i="1" s="1"/>
  <c r="AO155" i="1"/>
  <c r="AQ155" i="1" s="1"/>
  <c r="BA154" i="1"/>
  <c r="AW154" i="1"/>
  <c r="AZ154" i="1"/>
  <c r="BB154" i="1" s="1"/>
  <c r="AZ153" i="1"/>
  <c r="BA153" i="1"/>
  <c r="AW153" i="1"/>
  <c r="AL153" i="1"/>
  <c r="AN154" i="1" s="1"/>
  <c r="AO153" i="1"/>
  <c r="AP153" i="1"/>
  <c r="AP152" i="1"/>
  <c r="AL152" i="1"/>
  <c r="AO152" i="1"/>
  <c r="AQ152" i="1" s="1"/>
  <c r="BA151" i="1"/>
  <c r="AW151" i="1"/>
  <c r="AY152" i="1" s="1"/>
  <c r="AZ151" i="1"/>
  <c r="BB151" i="1" s="1"/>
  <c r="AP151" i="1"/>
  <c r="AL151" i="1"/>
  <c r="AO151" i="1"/>
  <c r="AW150" i="1"/>
  <c r="BA150" i="1"/>
  <c r="AZ150" i="1"/>
  <c r="BB150" i="1" s="1"/>
  <c r="AP150" i="1"/>
  <c r="AL150" i="1"/>
  <c r="AO150" i="1"/>
  <c r="AQ150" i="1" s="1"/>
  <c r="AP149" i="1"/>
  <c r="AO149" i="1"/>
  <c r="AQ149" i="1" s="1"/>
  <c r="AL149" i="1"/>
  <c r="AO148" i="1"/>
  <c r="AP148" i="1"/>
  <c r="AL148" i="1"/>
  <c r="AZ147" i="1"/>
  <c r="AW147" i="1"/>
  <c r="AY148" i="1" s="1"/>
  <c r="BA147" i="1"/>
  <c r="AO147" i="1"/>
  <c r="AP147" i="1"/>
  <c r="AL147" i="1"/>
  <c r="BA146" i="1"/>
  <c r="AW146" i="1"/>
  <c r="AZ146" i="1"/>
  <c r="BB146" i="1" s="1"/>
  <c r="AL146" i="1"/>
  <c r="AO146" i="1"/>
  <c r="AP146" i="1"/>
  <c r="AZ145" i="1"/>
  <c r="AW145" i="1"/>
  <c r="BA145" i="1"/>
  <c r="AL145" i="1"/>
  <c r="AP145" i="1"/>
  <c r="AO145" i="1"/>
  <c r="AQ145" i="1" s="1"/>
  <c r="BA144" i="1"/>
  <c r="AW144" i="1"/>
  <c r="AZ144" i="1"/>
  <c r="BB144" i="1" s="1"/>
  <c r="AO144" i="1"/>
  <c r="AP144" i="1"/>
  <c r="AL144" i="1"/>
  <c r="BA143" i="1"/>
  <c r="AZ143" i="1"/>
  <c r="BB143" i="1" s="1"/>
  <c r="AW143" i="1"/>
  <c r="AL143" i="1"/>
  <c r="AP143" i="1"/>
  <c r="AO143" i="1"/>
  <c r="AZ142" i="1"/>
  <c r="AW142" i="1"/>
  <c r="BA142" i="1"/>
  <c r="BA141" i="1"/>
  <c r="AW141" i="1"/>
  <c r="AZ141" i="1"/>
  <c r="BB141" i="1" s="1"/>
  <c r="AP141" i="1"/>
  <c r="AO141" i="1"/>
  <c r="AL141" i="1"/>
  <c r="AN142" i="1" s="1"/>
  <c r="AO140" i="1"/>
  <c r="AP140" i="1"/>
  <c r="AL140" i="1"/>
  <c r="AO139" i="1"/>
  <c r="AP139" i="1"/>
  <c r="AL139" i="1"/>
  <c r="AZ138" i="1"/>
  <c r="AW138" i="1"/>
  <c r="AY139" i="1" s="1"/>
  <c r="BA138" i="1"/>
  <c r="AP138" i="1"/>
  <c r="AO138" i="1"/>
  <c r="AQ138" i="1" s="1"/>
  <c r="AL138" i="1"/>
  <c r="BA137" i="1"/>
  <c r="AW137" i="1"/>
  <c r="AZ137" i="1"/>
  <c r="AL137" i="1"/>
  <c r="AP137" i="1"/>
  <c r="AO137" i="1"/>
  <c r="AL136" i="1"/>
  <c r="AO136" i="1"/>
  <c r="AP136" i="1"/>
  <c r="AZ135" i="1"/>
  <c r="BA135" i="1"/>
  <c r="AW135" i="1"/>
  <c r="AY136" i="1" s="1"/>
  <c r="BA134" i="1"/>
  <c r="AW134" i="1"/>
  <c r="AZ134" i="1"/>
  <c r="BB134" i="1" s="1"/>
  <c r="AP134" i="1"/>
  <c r="AO134" i="1"/>
  <c r="AL134" i="1"/>
  <c r="AN135" i="1" s="1"/>
  <c r="AZ133" i="1"/>
  <c r="AW133" i="1"/>
  <c r="BA133" i="1"/>
  <c r="AP133" i="1"/>
  <c r="AO133" i="1"/>
  <c r="AQ133" i="1" s="1"/>
  <c r="AL133" i="1"/>
  <c r="AZ132" i="1"/>
  <c r="AW132" i="1"/>
  <c r="BA132" i="1"/>
  <c r="AP132" i="1"/>
  <c r="AO132" i="1"/>
  <c r="AL132" i="1"/>
  <c r="AL131" i="1"/>
  <c r="AP131" i="1"/>
  <c r="AO131" i="1"/>
  <c r="AW130" i="1"/>
  <c r="AY131" i="1" s="1"/>
  <c r="BA130" i="1"/>
  <c r="AZ130" i="1"/>
  <c r="AW129" i="1"/>
  <c r="AZ129" i="1"/>
  <c r="BA129" i="1"/>
  <c r="AP129" i="1"/>
  <c r="AL129" i="1"/>
  <c r="AN130" i="1" s="1"/>
  <c r="AO129" i="1"/>
  <c r="AQ129" i="1" s="1"/>
  <c r="AP128" i="1"/>
  <c r="AO128" i="1"/>
  <c r="AL128" i="1"/>
  <c r="AW127" i="1"/>
  <c r="AY128" i="1" s="1"/>
  <c r="BA127" i="1"/>
  <c r="AZ127" i="1"/>
  <c r="BB127" i="1" s="1"/>
  <c r="AL127" i="1"/>
  <c r="AO127" i="1"/>
  <c r="AP127" i="1"/>
  <c r="AZ126" i="1"/>
  <c r="BA126" i="1"/>
  <c r="AW126" i="1"/>
  <c r="AO125" i="1"/>
  <c r="AL125" i="1"/>
  <c r="AN126" i="1" s="1"/>
  <c r="AP125" i="1"/>
  <c r="AZ124" i="1"/>
  <c r="BA124" i="1"/>
  <c r="AW124" i="1"/>
  <c r="AY125" i="1" s="1"/>
  <c r="AO124" i="1"/>
  <c r="AL124" i="1"/>
  <c r="AP124" i="1"/>
  <c r="AP123" i="1"/>
  <c r="AL123" i="1"/>
  <c r="AO123" i="1"/>
  <c r="AQ123" i="1" s="1"/>
  <c r="AZ122" i="1"/>
  <c r="AW122" i="1"/>
  <c r="AY123" i="1" s="1"/>
  <c r="BA122" i="1"/>
  <c r="BA121" i="1"/>
  <c r="AW121" i="1"/>
  <c r="AZ121" i="1"/>
  <c r="BB121" i="1" s="1"/>
  <c r="AL120" i="1"/>
  <c r="AN121" i="1" s="1"/>
  <c r="AO120" i="1"/>
  <c r="AP120" i="1"/>
  <c r="AW119" i="1"/>
  <c r="AY120" i="1" s="1"/>
  <c r="AZ119" i="1"/>
  <c r="BA119" i="1"/>
  <c r="AW118" i="1"/>
  <c r="AZ118" i="1"/>
  <c r="BA118" i="1"/>
  <c r="AL118" i="1"/>
  <c r="AN119" i="1" s="1"/>
  <c r="AP118" i="1"/>
  <c r="AO118" i="1"/>
  <c r="AQ118" i="1" s="1"/>
  <c r="BA117" i="1"/>
  <c r="AW117" i="1"/>
  <c r="AZ117" i="1"/>
  <c r="BB117" i="1" s="1"/>
  <c r="AZ115" i="1"/>
  <c r="AW115" i="1"/>
  <c r="BA115" i="1"/>
  <c r="AZ116" i="1"/>
  <c r="AW116" i="1"/>
  <c r="BA116" i="1"/>
  <c r="AL115" i="1"/>
  <c r="AN116" i="1" s="1"/>
  <c r="AP115" i="1"/>
  <c r="AO115" i="1"/>
  <c r="AO114" i="1"/>
  <c r="AL114" i="1"/>
  <c r="AP114" i="1"/>
  <c r="AP113" i="1"/>
  <c r="AL113" i="1"/>
  <c r="AO113" i="1"/>
  <c r="AZ112" i="1"/>
  <c r="AW112" i="1"/>
  <c r="AY113" i="1" s="1"/>
  <c r="BA112" i="1"/>
  <c r="AO111" i="1"/>
  <c r="AL111" i="1"/>
  <c r="AN112" i="1" s="1"/>
  <c r="AP111" i="1"/>
  <c r="AL110" i="1"/>
  <c r="AP110" i="1"/>
  <c r="AO110" i="1"/>
  <c r="AQ110" i="1" s="1"/>
  <c r="AW109" i="1"/>
  <c r="AY110" i="1" s="1"/>
  <c r="AZ109" i="1"/>
  <c r="BA109" i="1"/>
  <c r="BA108" i="1"/>
  <c r="AW108" i="1"/>
  <c r="AZ108" i="1"/>
  <c r="BB108" i="1" s="1"/>
  <c r="AL108" i="1"/>
  <c r="AN109" i="1" s="1"/>
  <c r="AP108" i="1"/>
  <c r="AO108" i="1"/>
  <c r="AZ107" i="1"/>
  <c r="AW107" i="1"/>
  <c r="BA107" i="1"/>
  <c r="AO107" i="1"/>
  <c r="AL107" i="1"/>
  <c r="AP107" i="1"/>
  <c r="AZ106" i="1"/>
  <c r="AW106" i="1"/>
  <c r="BA106" i="1"/>
  <c r="AL106" i="1"/>
  <c r="AO106" i="1"/>
  <c r="AP106" i="1"/>
  <c r="AZ105" i="1"/>
  <c r="AW105" i="1"/>
  <c r="BA105" i="1"/>
  <c r="AL105" i="1"/>
  <c r="AP105" i="1"/>
  <c r="AO105" i="1"/>
  <c r="AQ105" i="1" s="1"/>
  <c r="AP104" i="1"/>
  <c r="AO104" i="1"/>
  <c r="AQ104" i="1" s="1"/>
  <c r="AL104" i="1"/>
  <c r="AO103" i="1"/>
  <c r="AP103" i="1"/>
  <c r="AL103" i="1"/>
  <c r="AL102" i="1"/>
  <c r="AO102" i="1"/>
  <c r="AP102" i="1"/>
  <c r="AL101" i="1"/>
  <c r="AO101" i="1"/>
  <c r="AP101" i="1"/>
  <c r="AL100" i="1"/>
  <c r="AP100" i="1"/>
  <c r="AO100" i="1"/>
  <c r="AP99" i="1"/>
  <c r="AO99" i="1"/>
  <c r="AQ99" i="1" s="1"/>
  <c r="AL99" i="1"/>
  <c r="AL98" i="1"/>
  <c r="AO98" i="1"/>
  <c r="AP98" i="1"/>
  <c r="AP97" i="1"/>
  <c r="AL97" i="1"/>
  <c r="AO97" i="1"/>
  <c r="AQ97" i="1" s="1"/>
  <c r="AL96" i="1"/>
  <c r="AP96" i="1"/>
  <c r="AO96" i="1"/>
  <c r="AQ96" i="1" s="1"/>
  <c r="AL95" i="1"/>
  <c r="AO95" i="1"/>
  <c r="AP95" i="1"/>
  <c r="AW94" i="1"/>
  <c r="AY95" i="1" s="1"/>
  <c r="BA94" i="1"/>
  <c r="AZ94" i="1"/>
  <c r="BB94" i="1" s="1"/>
  <c r="AL94" i="1"/>
  <c r="AO94" i="1"/>
  <c r="AP94" i="1"/>
  <c r="AP93" i="1"/>
  <c r="AO93" i="1"/>
  <c r="AQ93" i="1" s="1"/>
  <c r="AL93" i="1"/>
  <c r="AW92" i="1"/>
  <c r="AY93" i="1" s="1"/>
  <c r="AZ92" i="1"/>
  <c r="BA92" i="1"/>
  <c r="AP92" i="1"/>
  <c r="AL92" i="1"/>
  <c r="AO92" i="1"/>
  <c r="AQ92" i="1" s="1"/>
  <c r="AZ91" i="1"/>
  <c r="BA91" i="1"/>
  <c r="AW91" i="1"/>
  <c r="AZ90" i="1"/>
  <c r="BA90" i="1"/>
  <c r="AW90" i="1"/>
  <c r="AW89" i="1"/>
  <c r="AZ89" i="1"/>
  <c r="BA89" i="1"/>
  <c r="AZ88" i="1"/>
  <c r="AW88" i="1"/>
  <c r="BA88" i="1"/>
  <c r="AP88" i="1"/>
  <c r="AL88" i="1"/>
  <c r="AN89" i="1" s="1"/>
  <c r="AO88" i="1"/>
  <c r="AQ88" i="1" s="1"/>
  <c r="AW87" i="1"/>
  <c r="AZ87" i="1"/>
  <c r="BA87" i="1"/>
  <c r="AZ86" i="1"/>
  <c r="AW86" i="1"/>
  <c r="BA86" i="1"/>
  <c r="AP86" i="1"/>
  <c r="AL86" i="1"/>
  <c r="AN87" i="1" s="1"/>
  <c r="AO86" i="1"/>
  <c r="AQ86" i="1" s="1"/>
  <c r="AZ85" i="1"/>
  <c r="BA85" i="1"/>
  <c r="AW85" i="1"/>
  <c r="AL85" i="1"/>
  <c r="AP85" i="1"/>
  <c r="AO85" i="1"/>
  <c r="AQ85" i="1" s="1"/>
  <c r="AL83" i="1"/>
  <c r="AN84" i="1" s="1"/>
  <c r="AO83" i="1"/>
  <c r="AP83" i="1"/>
  <c r="AP82" i="1"/>
  <c r="AL82" i="1"/>
  <c r="AO82" i="1"/>
  <c r="AL80" i="1"/>
  <c r="AO80" i="1"/>
  <c r="AP80" i="1"/>
  <c r="AP79" i="1"/>
  <c r="AO79" i="1"/>
  <c r="AQ79" i="1" s="1"/>
  <c r="AL79" i="1"/>
  <c r="AP75" i="1"/>
  <c r="AO75" i="1"/>
  <c r="AQ75" i="1" s="1"/>
  <c r="AL75" i="1"/>
  <c r="AL74" i="1"/>
  <c r="AO74" i="1"/>
  <c r="AP74" i="1"/>
  <c r="BA73" i="1"/>
  <c r="AZ73" i="1"/>
  <c r="BB73" i="1" s="1"/>
  <c r="AW73" i="1"/>
  <c r="AP73" i="1"/>
  <c r="AO73" i="1"/>
  <c r="AL73" i="1"/>
  <c r="AZ72" i="1"/>
  <c r="BA72" i="1"/>
  <c r="AW72" i="1"/>
  <c r="AP71" i="1"/>
  <c r="AL71" i="1"/>
  <c r="AO71" i="1"/>
  <c r="AQ71" i="1" s="1"/>
  <c r="AP70" i="1"/>
  <c r="AO70" i="1"/>
  <c r="AQ70" i="1" s="1"/>
  <c r="AL70" i="1"/>
  <c r="AP69" i="1"/>
  <c r="AL69" i="1"/>
  <c r="AO69" i="1"/>
  <c r="AQ69" i="1" s="1"/>
  <c r="BA67" i="1"/>
  <c r="AZ67" i="1"/>
  <c r="BB67" i="1" s="1"/>
  <c r="AW67" i="1"/>
  <c r="AP67" i="1"/>
  <c r="AO67" i="1"/>
  <c r="AQ67" i="1" s="1"/>
  <c r="AL67" i="1"/>
  <c r="AN68" i="1" s="1"/>
  <c r="AP65" i="1"/>
  <c r="AL65" i="1"/>
  <c r="AN66" i="1" s="1"/>
  <c r="AO65" i="1"/>
  <c r="AQ65" i="1" s="1"/>
  <c r="AP64" i="1"/>
  <c r="AO64" i="1"/>
  <c r="AQ64" i="1" s="1"/>
  <c r="AL64" i="1"/>
  <c r="AL63" i="1"/>
  <c r="AP63" i="1"/>
  <c r="AO63" i="1"/>
  <c r="AQ63" i="1" s="1"/>
  <c r="AL60" i="1"/>
  <c r="AN61" i="1" s="1"/>
  <c r="AZ51" i="1"/>
  <c r="AW51" i="1"/>
  <c r="BA51" i="1"/>
  <c r="AO50" i="1"/>
  <c r="AL50" i="1"/>
  <c r="AP50" i="1"/>
  <c r="BA49" i="1"/>
  <c r="AZ49" i="1"/>
  <c r="BB49" i="1" s="1"/>
  <c r="AW49" i="1"/>
  <c r="AY50" i="1" s="1"/>
  <c r="AL49" i="1"/>
  <c r="AO49" i="1"/>
  <c r="AP49" i="1"/>
  <c r="AW47" i="1"/>
  <c r="AY48" i="1" s="1"/>
  <c r="BA47" i="1"/>
  <c r="AZ47" i="1"/>
  <c r="BB47" i="1" s="1"/>
  <c r="BA46" i="1"/>
  <c r="AZ46" i="1"/>
  <c r="BB46" i="1" s="1"/>
  <c r="AW46" i="1"/>
  <c r="AP42" i="1"/>
  <c r="AO42" i="1"/>
  <c r="AQ42" i="1" s="1"/>
  <c r="AL42" i="1"/>
  <c r="AO40" i="1"/>
  <c r="AP40" i="1"/>
  <c r="AL40" i="1"/>
  <c r="AP38" i="1"/>
  <c r="AL38" i="1"/>
  <c r="AN39" i="1" s="1"/>
  <c r="AO38" i="1"/>
  <c r="AQ38" i="1" s="1"/>
  <c r="AO35" i="1"/>
  <c r="AL35" i="1"/>
  <c r="AP35" i="1"/>
  <c r="BA33" i="1"/>
  <c r="AW33" i="1"/>
  <c r="AY34" i="1" s="1"/>
  <c r="AZ33" i="1"/>
  <c r="BB33" i="1" s="1"/>
  <c r="BA32" i="1"/>
  <c r="AW32" i="1"/>
  <c r="AZ32" i="1"/>
  <c r="BB32" i="1" s="1"/>
  <c r="AP31" i="1"/>
  <c r="AO31" i="1"/>
  <c r="AQ31" i="1" s="1"/>
  <c r="AL31" i="1"/>
  <c r="AN32" i="1" s="1"/>
  <c r="AZ27" i="1"/>
  <c r="AW27" i="1"/>
  <c r="BA27" i="1"/>
  <c r="AP27" i="1"/>
  <c r="AO27" i="1"/>
  <c r="AQ27" i="1" s="1"/>
  <c r="AL27" i="1"/>
  <c r="AZ26" i="1"/>
  <c r="BA26" i="1"/>
  <c r="AW26" i="1"/>
  <c r="BA24" i="1"/>
  <c r="AW24" i="1"/>
  <c r="AZ24" i="1"/>
  <c r="BB24" i="1" s="1"/>
  <c r="AL24" i="1"/>
  <c r="AN25" i="1" s="1"/>
  <c r="AO24" i="1"/>
  <c r="AP24" i="1"/>
  <c r="BA22" i="1"/>
  <c r="AZ22" i="1"/>
  <c r="BB22" i="1" s="1"/>
  <c r="AP22" i="1"/>
  <c r="AO22" i="1"/>
  <c r="AQ22" i="1" s="1"/>
  <c r="BA42" i="1" l="1"/>
  <c r="AW42" i="1"/>
  <c r="AY43" i="1" s="1"/>
  <c r="AZ42" i="1"/>
  <c r="BB42" i="1" s="1"/>
  <c r="BE67" i="1"/>
  <c r="AQ137" i="1"/>
  <c r="AQ131" i="1"/>
  <c r="AQ132" i="1"/>
  <c r="AP60" i="1"/>
  <c r="AO60" i="1"/>
  <c r="AQ60" i="1" s="1"/>
  <c r="AL46" i="1"/>
  <c r="AP46" i="1"/>
  <c r="AO46" i="1"/>
  <c r="AQ46" i="1" s="1"/>
  <c r="AL37" i="1"/>
  <c r="AO37" i="1"/>
  <c r="AP37" i="1"/>
  <c r="AO29" i="1"/>
  <c r="AL29" i="1"/>
  <c r="AP29" i="1"/>
  <c r="AL23" i="1"/>
  <c r="AO23" i="1"/>
  <c r="AP23" i="1"/>
  <c r="AP30" i="1"/>
  <c r="AO30" i="1"/>
  <c r="AL30" i="1"/>
  <c r="AL56" i="1"/>
  <c r="AP56" i="1"/>
  <c r="AO56" i="1"/>
  <c r="AO54" i="1"/>
  <c r="AP54" i="1"/>
  <c r="AL54" i="1"/>
  <c r="AN55" i="1" s="1"/>
  <c r="AP41" i="1"/>
  <c r="AO41" i="1"/>
  <c r="AQ41" i="1" s="1"/>
  <c r="AL41" i="1"/>
  <c r="AO28" i="1"/>
  <c r="AL28" i="1"/>
  <c r="AP28" i="1"/>
  <c r="AO51" i="1"/>
  <c r="AL51" i="1"/>
  <c r="AP51" i="1"/>
  <c r="AO48" i="1"/>
  <c r="AP48" i="1"/>
  <c r="AL48" i="1"/>
  <c r="AO47" i="1"/>
  <c r="AL47" i="1"/>
  <c r="AP47" i="1"/>
  <c r="AL53" i="1"/>
  <c r="AP53" i="1"/>
  <c r="AO53" i="1"/>
  <c r="AL52" i="1"/>
  <c r="AP52" i="1"/>
  <c r="AO52" i="1"/>
  <c r="AQ52" i="1" s="1"/>
  <c r="AO44" i="1"/>
  <c r="AL44" i="1"/>
  <c r="AP44" i="1"/>
  <c r="AP34" i="1"/>
  <c r="AL34" i="1"/>
  <c r="AO34" i="1"/>
  <c r="AO33" i="1"/>
  <c r="AL33" i="1"/>
  <c r="AP33" i="1"/>
  <c r="AO58" i="1"/>
  <c r="AL58" i="1"/>
  <c r="AN59" i="1" s="1"/>
  <c r="AP58" i="1"/>
  <c r="AL36" i="1"/>
  <c r="AP36" i="1"/>
  <c r="AO36" i="1"/>
  <c r="AQ36" i="1" s="1"/>
  <c r="AL43" i="1"/>
  <c r="AP43" i="1"/>
  <c r="AO43" i="1"/>
  <c r="AO57" i="1"/>
  <c r="AP57" i="1"/>
  <c r="AL57" i="1"/>
  <c r="AO45" i="1"/>
  <c r="AP45" i="1"/>
  <c r="AL45" i="1"/>
  <c r="AQ134" i="1"/>
  <c r="AQ108" i="1"/>
  <c r="AQ141" i="1"/>
  <c r="AQ115" i="1"/>
  <c r="BB85" i="1"/>
  <c r="BA53" i="1"/>
  <c r="BB53" i="1" s="1"/>
  <c r="AW53" i="1"/>
  <c r="AZ44" i="1"/>
  <c r="AW44" i="1"/>
  <c r="BA44" i="1"/>
  <c r="AZ39" i="1"/>
  <c r="AW39" i="1"/>
  <c r="AY40" i="1" s="1"/>
  <c r="BA39" i="1"/>
  <c r="BA28" i="1"/>
  <c r="AW28" i="1"/>
  <c r="AY29" i="1" s="1"/>
  <c r="AZ28" i="1"/>
  <c r="BB28" i="1" s="1"/>
  <c r="AW25" i="1"/>
  <c r="AZ25" i="1"/>
  <c r="BA25" i="1"/>
  <c r="AW23" i="1"/>
  <c r="BA23" i="1"/>
  <c r="AZ23" i="1"/>
  <c r="BB23" i="1" s="1"/>
  <c r="BB130" i="1"/>
  <c r="AW83" i="1"/>
  <c r="BA83" i="1"/>
  <c r="AZ83" i="1"/>
  <c r="BB83" i="1" s="1"/>
  <c r="AW79" i="1"/>
  <c r="AZ79" i="1"/>
  <c r="BA79" i="1"/>
  <c r="AW70" i="1"/>
  <c r="AZ70" i="1"/>
  <c r="BA70" i="1"/>
  <c r="BA58" i="1"/>
  <c r="AW58" i="1"/>
  <c r="AZ58" i="1"/>
  <c r="AW69" i="1"/>
  <c r="BA69" i="1"/>
  <c r="AZ69" i="1"/>
  <c r="BB69" i="1" s="1"/>
  <c r="BA62" i="1"/>
  <c r="AZ62" i="1"/>
  <c r="AW62" i="1"/>
  <c r="BA84" i="1"/>
  <c r="AZ84" i="1"/>
  <c r="AW84" i="1"/>
  <c r="AZ80" i="1"/>
  <c r="BA80" i="1"/>
  <c r="AW80" i="1"/>
  <c r="AY81" i="1" s="1"/>
  <c r="AZ74" i="1"/>
  <c r="AW74" i="1"/>
  <c r="BA74" i="1"/>
  <c r="AZ68" i="1"/>
  <c r="AW68" i="1"/>
  <c r="BA68" i="1"/>
  <c r="AW66" i="1"/>
  <c r="BA66" i="1"/>
  <c r="AZ66" i="1"/>
  <c r="BB66" i="1" s="1"/>
  <c r="AZ60" i="1"/>
  <c r="BA60" i="1"/>
  <c r="AW60" i="1"/>
  <c r="AW77" i="1"/>
  <c r="BA77" i="1"/>
  <c r="AZ77" i="1"/>
  <c r="AZ75" i="1"/>
  <c r="BA75" i="1"/>
  <c r="AW75" i="1"/>
  <c r="AY76" i="1" s="1"/>
  <c r="BA71" i="1"/>
  <c r="AW71" i="1"/>
  <c r="AZ71" i="1"/>
  <c r="AW59" i="1"/>
  <c r="BA59" i="1"/>
  <c r="AZ59" i="1"/>
  <c r="AZ57" i="1"/>
  <c r="BA57" i="1"/>
  <c r="AW57" i="1"/>
  <c r="AW50" i="1"/>
  <c r="BA50" i="1"/>
  <c r="AZ50" i="1"/>
  <c r="AZ82" i="1"/>
  <c r="BA82" i="1"/>
  <c r="AW82" i="1"/>
  <c r="AZ78" i="1"/>
  <c r="BA78" i="1"/>
  <c r="AW78" i="1"/>
  <c r="AZ65" i="1"/>
  <c r="AW65" i="1"/>
  <c r="BA65" i="1"/>
  <c r="BA63" i="1"/>
  <c r="AW63" i="1"/>
  <c r="AY64" i="1" s="1"/>
  <c r="AZ63" i="1"/>
  <c r="AW54" i="1"/>
  <c r="AZ54" i="1"/>
  <c r="BA54" i="1"/>
  <c r="AZ61" i="1"/>
  <c r="AW61" i="1"/>
  <c r="BA61" i="1"/>
  <c r="AW56" i="1"/>
  <c r="AZ56" i="1"/>
  <c r="BA56" i="1"/>
  <c r="BA52" i="1"/>
  <c r="AZ52" i="1"/>
  <c r="AW52" i="1"/>
  <c r="BA45" i="1"/>
  <c r="AW45" i="1"/>
  <c r="AZ45" i="1"/>
  <c r="BA41" i="1"/>
  <c r="AZ41" i="1"/>
  <c r="AW41" i="1"/>
  <c r="AW35" i="1"/>
  <c r="AY36" i="1" s="1"/>
  <c r="BA35" i="1"/>
  <c r="AZ35" i="1"/>
  <c r="BB35" i="1" s="1"/>
  <c r="AZ55" i="1"/>
  <c r="AW55" i="1"/>
  <c r="BA55" i="1"/>
  <c r="BA48" i="1"/>
  <c r="AW48" i="1"/>
  <c r="AZ48" i="1"/>
  <c r="BB48" i="1" s="1"/>
  <c r="BA175" i="1"/>
  <c r="AW175" i="1"/>
  <c r="AZ175" i="1"/>
  <c r="BB175" i="1" s="1"/>
  <c r="AW173" i="1"/>
  <c r="AY174" i="1" s="1"/>
  <c r="AZ173" i="1"/>
  <c r="BA173" i="1"/>
  <c r="AZ169" i="1"/>
  <c r="AW169" i="1"/>
  <c r="BA169" i="1"/>
  <c r="BA148" i="1"/>
  <c r="AZ148" i="1"/>
  <c r="AW148" i="1"/>
  <c r="AY149" i="1" s="1"/>
  <c r="AZ139" i="1"/>
  <c r="BA139" i="1"/>
  <c r="AW139" i="1"/>
  <c r="AY140" i="1" s="1"/>
  <c r="AZ136" i="1"/>
  <c r="BA136" i="1"/>
  <c r="AW136" i="1"/>
  <c r="AZ125" i="1"/>
  <c r="BA125" i="1"/>
  <c r="AW125" i="1"/>
  <c r="AW120" i="1"/>
  <c r="BA120" i="1"/>
  <c r="AZ120" i="1"/>
  <c r="BB120" i="1" s="1"/>
  <c r="AW113" i="1"/>
  <c r="AY114" i="1" s="1"/>
  <c r="AZ113" i="1"/>
  <c r="BA113" i="1"/>
  <c r="AW95" i="1"/>
  <c r="AY96" i="1" s="1"/>
  <c r="BA95" i="1"/>
  <c r="AZ95" i="1"/>
  <c r="AW93" i="1"/>
  <c r="BA93" i="1"/>
  <c r="AZ93" i="1"/>
  <c r="BB93" i="1" s="1"/>
  <c r="BE93" i="1" s="1"/>
  <c r="AZ40" i="1"/>
  <c r="BA40" i="1"/>
  <c r="AW40" i="1"/>
  <c r="AW34" i="1"/>
  <c r="AZ34" i="1"/>
  <c r="BA34" i="1"/>
  <c r="AW29" i="1"/>
  <c r="AY30" i="1" s="1"/>
  <c r="BA29" i="1"/>
  <c r="AZ29" i="1"/>
  <c r="BB90" i="1"/>
  <c r="BB91" i="1"/>
  <c r="BE85" i="1"/>
  <c r="BB82" i="1"/>
  <c r="BE69" i="1"/>
  <c r="BE46" i="1"/>
  <c r="BE42" i="1"/>
  <c r="BB155" i="1"/>
  <c r="BE155" i="1" s="1"/>
  <c r="BB125" i="1"/>
  <c r="BB124" i="1"/>
  <c r="BB106" i="1"/>
  <c r="AQ82" i="1"/>
  <c r="BE82" i="1" s="1"/>
  <c r="AO81" i="1"/>
  <c r="AL81" i="1"/>
  <c r="AP81" i="1"/>
  <c r="AP76" i="1"/>
  <c r="AO76" i="1"/>
  <c r="AQ76" i="1" s="1"/>
  <c r="AL76" i="1"/>
  <c r="AN77" i="1" s="1"/>
  <c r="AO72" i="1"/>
  <c r="AL72" i="1"/>
  <c r="AP72" i="1"/>
  <c r="AP175" i="1"/>
  <c r="AL175" i="1"/>
  <c r="AO175" i="1"/>
  <c r="AO170" i="1"/>
  <c r="AP170" i="1"/>
  <c r="AL170" i="1"/>
  <c r="AN171" i="1" s="1"/>
  <c r="AL166" i="1"/>
  <c r="AN167" i="1" s="1"/>
  <c r="AO166" i="1"/>
  <c r="AP166" i="1"/>
  <c r="AL160" i="1"/>
  <c r="AO160" i="1"/>
  <c r="AP160" i="1"/>
  <c r="AL154" i="1"/>
  <c r="AO154" i="1"/>
  <c r="AP154" i="1"/>
  <c r="AO135" i="1"/>
  <c r="AP135" i="1"/>
  <c r="AL135" i="1"/>
  <c r="AO121" i="1"/>
  <c r="AP121" i="1"/>
  <c r="AL121" i="1"/>
  <c r="AN122" i="1" s="1"/>
  <c r="AO116" i="1"/>
  <c r="AP116" i="1"/>
  <c r="AL116" i="1"/>
  <c r="AN117" i="1" s="1"/>
  <c r="AO109" i="1"/>
  <c r="AL109" i="1"/>
  <c r="AP109" i="1"/>
  <c r="AP87" i="1"/>
  <c r="AO87" i="1"/>
  <c r="AL87" i="1"/>
  <c r="AP84" i="1"/>
  <c r="AO84" i="1"/>
  <c r="AQ84" i="1" s="1"/>
  <c r="AL84" i="1"/>
  <c r="AL68" i="1"/>
  <c r="AO68" i="1"/>
  <c r="AP68" i="1"/>
  <c r="AO61" i="1"/>
  <c r="AP61" i="1"/>
  <c r="AL61" i="1"/>
  <c r="AN62" i="1" s="1"/>
  <c r="AP59" i="1"/>
  <c r="AL59" i="1"/>
  <c r="AO59" i="1"/>
  <c r="AP55" i="1"/>
  <c r="AL55" i="1"/>
  <c r="AO55" i="1"/>
  <c r="AO39" i="1"/>
  <c r="AP39" i="1"/>
  <c r="AL39" i="1"/>
  <c r="AQ128" i="1"/>
  <c r="AQ57" i="1"/>
  <c r="AQ151" i="1"/>
  <c r="AQ100" i="1"/>
  <c r="BE141" i="1"/>
  <c r="BE134" i="1"/>
  <c r="BE165" i="1"/>
  <c r="BE151" i="1"/>
  <c r="BB137" i="1"/>
  <c r="BE137" i="1" s="1"/>
  <c r="BE108" i="1"/>
  <c r="BE150" i="1"/>
  <c r="BB86" i="1"/>
  <c r="BE86" i="1" s="1"/>
  <c r="AQ113" i="1"/>
  <c r="AQ101" i="1"/>
  <c r="AQ163" i="1"/>
  <c r="AQ153" i="1"/>
  <c r="AQ120" i="1"/>
  <c r="BE120" i="1" s="1"/>
  <c r="AQ127" i="1"/>
  <c r="BE127" i="1" s="1"/>
  <c r="AQ148" i="1"/>
  <c r="AQ143" i="1"/>
  <c r="BE143" i="1" s="1"/>
  <c r="AQ136" i="1"/>
  <c r="BB129" i="1"/>
  <c r="BE129" i="1" s="1"/>
  <c r="BB77" i="1"/>
  <c r="AQ74" i="1"/>
  <c r="BB72" i="1"/>
  <c r="BB70" i="1"/>
  <c r="BE70" i="1" s="1"/>
  <c r="BB68" i="1"/>
  <c r="BB62" i="1"/>
  <c r="BB60" i="1"/>
  <c r="BE60" i="1" s="1"/>
  <c r="BB59" i="1"/>
  <c r="AQ56" i="1"/>
  <c r="BB54" i="1"/>
  <c r="AQ49" i="1"/>
  <c r="BE49" i="1" s="1"/>
  <c r="AQ48" i="1"/>
  <c r="BE48" i="1" s="1"/>
  <c r="BB45" i="1"/>
  <c r="BB44" i="1"/>
  <c r="AQ44" i="1"/>
  <c r="BE44" i="1" s="1"/>
  <c r="BB39" i="1"/>
  <c r="AQ34" i="1"/>
  <c r="AQ30" i="1"/>
  <c r="BB29" i="1"/>
  <c r="BB27" i="1"/>
  <c r="BE27" i="1" s="1"/>
  <c r="BB25" i="1"/>
  <c r="BB112" i="1"/>
  <c r="AQ94" i="1"/>
  <c r="BE94" i="1" s="1"/>
  <c r="AQ87" i="1"/>
  <c r="AQ116" i="1"/>
  <c r="BB133" i="1"/>
  <c r="BE133" i="1" s="1"/>
  <c r="AQ125" i="1"/>
  <c r="BE125" i="1" s="1"/>
  <c r="BB118" i="1"/>
  <c r="BE118" i="1" s="1"/>
  <c r="AO156" i="1"/>
  <c r="AL156" i="1"/>
  <c r="AP156" i="1"/>
  <c r="BA152" i="1"/>
  <c r="AZ152" i="1"/>
  <c r="AW152" i="1"/>
  <c r="AL142" i="1"/>
  <c r="AO142" i="1"/>
  <c r="AP142" i="1"/>
  <c r="AW131" i="1"/>
  <c r="AZ131" i="1"/>
  <c r="BA131" i="1"/>
  <c r="AL130" i="1"/>
  <c r="AP130" i="1"/>
  <c r="AO130" i="1"/>
  <c r="BA128" i="1"/>
  <c r="AW128" i="1"/>
  <c r="AZ128" i="1"/>
  <c r="BB128" i="1" s="1"/>
  <c r="BE128" i="1" s="1"/>
  <c r="AO126" i="1"/>
  <c r="AL126" i="1"/>
  <c r="AP126" i="1"/>
  <c r="AW123" i="1"/>
  <c r="AZ123" i="1"/>
  <c r="BA123" i="1"/>
  <c r="AP122" i="1"/>
  <c r="AO122" i="1"/>
  <c r="AL122" i="1"/>
  <c r="AO119" i="1"/>
  <c r="AP119" i="1"/>
  <c r="AL119" i="1"/>
  <c r="AP112" i="1"/>
  <c r="AL112" i="1"/>
  <c r="AO112" i="1"/>
  <c r="AQ112" i="1" s="1"/>
  <c r="BE112" i="1" s="1"/>
  <c r="BA110" i="1"/>
  <c r="AW110" i="1"/>
  <c r="AY111" i="1" s="1"/>
  <c r="AZ110" i="1"/>
  <c r="BB110" i="1" s="1"/>
  <c r="BE110" i="1" s="1"/>
  <c r="AZ96" i="1"/>
  <c r="AW96" i="1"/>
  <c r="AY97" i="1" s="1"/>
  <c r="BA96" i="1"/>
  <c r="AL89" i="1"/>
  <c r="AN90" i="1" s="1"/>
  <c r="AP89" i="1"/>
  <c r="AO89" i="1"/>
  <c r="AQ89" i="1" s="1"/>
  <c r="AP66" i="1"/>
  <c r="AO66" i="1"/>
  <c r="AQ66" i="1" s="1"/>
  <c r="BE66" i="1" s="1"/>
  <c r="AL66" i="1"/>
  <c r="AP32" i="1"/>
  <c r="AO32" i="1"/>
  <c r="AQ32" i="1" s="1"/>
  <c r="BE32" i="1" s="1"/>
  <c r="AL32" i="1"/>
  <c r="BA30" i="1"/>
  <c r="AP25" i="1"/>
  <c r="AO25" i="1"/>
  <c r="AQ25" i="1" s="1"/>
  <c r="BE25" i="1" s="1"/>
  <c r="AL25" i="1"/>
  <c r="AN26" i="1" s="1"/>
  <c r="BC22" i="1"/>
  <c r="BC23" i="1" s="1"/>
  <c r="BC24" i="1" s="1"/>
  <c r="BC25" i="1" s="1"/>
  <c r="BE22" i="1"/>
  <c r="AR22" i="1"/>
  <c r="BB161" i="1"/>
  <c r="BE161" i="1" s="1"/>
  <c r="AQ157" i="1"/>
  <c r="BE157" i="1" s="1"/>
  <c r="BB156" i="1"/>
  <c r="BB148" i="1"/>
  <c r="BE148" i="1" s="1"/>
  <c r="AQ147" i="1"/>
  <c r="AQ146" i="1"/>
  <c r="BE146" i="1" s="1"/>
  <c r="BB142" i="1"/>
  <c r="AQ140" i="1"/>
  <c r="AQ139" i="1"/>
  <c r="BB132" i="1"/>
  <c r="BE132" i="1" s="1"/>
  <c r="BB119" i="1"/>
  <c r="BB115" i="1"/>
  <c r="BE115" i="1" s="1"/>
  <c r="AQ106" i="1"/>
  <c r="BE106" i="1" s="1"/>
  <c r="BB78" i="1"/>
  <c r="AQ55" i="1"/>
  <c r="BB51" i="1"/>
  <c r="BB105" i="1"/>
  <c r="BE105" i="1" s="1"/>
  <c r="AQ95" i="1"/>
  <c r="BB89" i="1"/>
  <c r="AQ81" i="1"/>
  <c r="BB56" i="1"/>
  <c r="BE56" i="1" s="1"/>
  <c r="AQ53" i="1"/>
  <c r="BB50" i="1"/>
  <c r="AQ35" i="1"/>
  <c r="BE35" i="1" s="1"/>
  <c r="AQ111" i="1"/>
  <c r="AQ107" i="1"/>
  <c r="AQ103" i="1"/>
  <c r="AQ102" i="1"/>
  <c r="BB92" i="1"/>
  <c r="BE92" i="1" s="1"/>
  <c r="AQ73" i="1"/>
  <c r="BE73" i="1" s="1"/>
  <c r="AQ72" i="1"/>
  <c r="BE72" i="1" s="1"/>
  <c r="BB71" i="1"/>
  <c r="BE71" i="1" s="1"/>
  <c r="AQ43" i="1"/>
  <c r="BB41" i="1"/>
  <c r="BE41" i="1" s="1"/>
  <c r="AQ24" i="1"/>
  <c r="BE24" i="1" s="1"/>
  <c r="AQ23" i="1"/>
  <c r="AQ58" i="1"/>
  <c r="BB52" i="1"/>
  <c r="BE52" i="1" s="1"/>
  <c r="AQ37" i="1"/>
  <c r="BB79" i="1"/>
  <c r="BE79" i="1" s="1"/>
  <c r="AQ59" i="1"/>
  <c r="BE59" i="1" s="1"/>
  <c r="AQ54" i="1"/>
  <c r="BE54" i="1" s="1"/>
  <c r="AQ47" i="1"/>
  <c r="BE47" i="1" s="1"/>
  <c r="AQ40" i="1"/>
  <c r="BB176" i="1"/>
  <c r="BE176" i="1" s="1"/>
  <c r="AQ175" i="1"/>
  <c r="BE175" i="1" s="1"/>
  <c r="AQ173" i="1"/>
  <c r="AQ172" i="1"/>
  <c r="BE172" i="1" s="1"/>
  <c r="AQ170" i="1"/>
  <c r="BE170" i="1" s="1"/>
  <c r="BB166" i="1"/>
  <c r="BB164" i="1"/>
  <c r="AQ164" i="1"/>
  <c r="BB163" i="1"/>
  <c r="BE163" i="1" s="1"/>
  <c r="AQ162" i="1"/>
  <c r="BE162" i="1" s="1"/>
  <c r="AQ160" i="1"/>
  <c r="BE160" i="1" s="1"/>
  <c r="AQ159" i="1"/>
  <c r="BE159" i="1" s="1"/>
  <c r="AQ158" i="1"/>
  <c r="BE158" i="1" s="1"/>
  <c r="BB153" i="1"/>
  <c r="BE153" i="1" s="1"/>
  <c r="BB147" i="1"/>
  <c r="BB145" i="1"/>
  <c r="BE145" i="1" s="1"/>
  <c r="AQ144" i="1"/>
  <c r="BE144" i="1" s="1"/>
  <c r="BB138" i="1"/>
  <c r="BE138" i="1" s="1"/>
  <c r="BB135" i="1"/>
  <c r="AQ135" i="1"/>
  <c r="BB126" i="1"/>
  <c r="AQ124" i="1"/>
  <c r="BE124" i="1" s="1"/>
  <c r="AQ114" i="1"/>
  <c r="AQ98" i="1"/>
  <c r="AQ83" i="1"/>
  <c r="BE83" i="1" s="1"/>
  <c r="AQ80" i="1"/>
  <c r="BB75" i="1"/>
  <c r="BE75" i="1" s="1"/>
  <c r="BB58" i="1"/>
  <c r="AQ28" i="1"/>
  <c r="BE28" i="1" s="1"/>
  <c r="BB26" i="1"/>
  <c r="BB122" i="1"/>
  <c r="BB116" i="1"/>
  <c r="BE116" i="1" s="1"/>
  <c r="BB109" i="1"/>
  <c r="BB107" i="1"/>
  <c r="BB88" i="1"/>
  <c r="BE88" i="1" s="1"/>
  <c r="BB87" i="1"/>
  <c r="BE87" i="1" s="1"/>
  <c r="BB65" i="1"/>
  <c r="BE65" i="1" s="1"/>
  <c r="BB63" i="1"/>
  <c r="BE63" i="1" s="1"/>
  <c r="BB55" i="1"/>
  <c r="AQ50" i="1"/>
  <c r="BE50" i="1" s="1"/>
  <c r="AQ33" i="1"/>
  <c r="BE33" i="1" s="1"/>
  <c r="BB95" i="1" l="1"/>
  <c r="BE95" i="1" s="1"/>
  <c r="BB40" i="1"/>
  <c r="BE40" i="1" s="1"/>
  <c r="AZ43" i="1"/>
  <c r="AW43" i="1"/>
  <c r="BA43" i="1"/>
  <c r="BE135" i="1"/>
  <c r="BE53" i="1"/>
  <c r="BE164" i="1"/>
  <c r="AW30" i="1"/>
  <c r="AY31" i="1" s="1"/>
  <c r="AZ30" i="1"/>
  <c r="AQ29" i="1"/>
  <c r="BE29" i="1" s="1"/>
  <c r="AQ51" i="1"/>
  <c r="BE51" i="1" s="1"/>
  <c r="AQ45" i="1"/>
  <c r="BE45" i="1" s="1"/>
  <c r="AQ39" i="1"/>
  <c r="BE39" i="1" s="1"/>
  <c r="AQ154" i="1"/>
  <c r="BE154" i="1" s="1"/>
  <c r="BB34" i="1"/>
  <c r="BE34" i="1" s="1"/>
  <c r="BB80" i="1"/>
  <c r="BE80" i="1" s="1"/>
  <c r="BB169" i="1"/>
  <c r="BE169" i="1" s="1"/>
  <c r="AW81" i="1"/>
  <c r="BA81" i="1"/>
  <c r="AZ81" i="1"/>
  <c r="BB81" i="1" s="1"/>
  <c r="BE81" i="1" s="1"/>
  <c r="BA76" i="1"/>
  <c r="AW76" i="1"/>
  <c r="AZ76" i="1"/>
  <c r="BB76" i="1" s="1"/>
  <c r="BE76" i="1" s="1"/>
  <c r="AZ64" i="1"/>
  <c r="AW64" i="1"/>
  <c r="BA64" i="1"/>
  <c r="BA36" i="1"/>
  <c r="AZ36" i="1"/>
  <c r="BB36" i="1" s="1"/>
  <c r="BE36" i="1" s="1"/>
  <c r="AW36" i="1"/>
  <c r="AY37" i="1" s="1"/>
  <c r="AW174" i="1"/>
  <c r="AZ174" i="1"/>
  <c r="BA174" i="1"/>
  <c r="BA149" i="1"/>
  <c r="AZ149" i="1"/>
  <c r="BB149" i="1" s="1"/>
  <c r="BE149" i="1" s="1"/>
  <c r="AW149" i="1"/>
  <c r="AW140" i="1"/>
  <c r="BA140" i="1"/>
  <c r="AZ140" i="1"/>
  <c r="BB140" i="1" s="1"/>
  <c r="BE140" i="1" s="1"/>
  <c r="AW114" i="1"/>
  <c r="BA114" i="1"/>
  <c r="AZ114" i="1"/>
  <c r="BB114" i="1" s="1"/>
  <c r="BE114" i="1" s="1"/>
  <c r="BB139" i="1"/>
  <c r="BE139" i="1" s="1"/>
  <c r="BB113" i="1"/>
  <c r="BE113" i="1" s="1"/>
  <c r="BB84" i="1"/>
  <c r="BE84" i="1" s="1"/>
  <c r="BB57" i="1"/>
  <c r="BE57" i="1" s="1"/>
  <c r="BB173" i="1"/>
  <c r="BE173" i="1" s="1"/>
  <c r="BB136" i="1"/>
  <c r="BE136" i="1" s="1"/>
  <c r="BB74" i="1"/>
  <c r="BE74" i="1" s="1"/>
  <c r="BB61" i="1"/>
  <c r="AZ111" i="1"/>
  <c r="BA111" i="1"/>
  <c r="AW111" i="1"/>
  <c r="BA97" i="1"/>
  <c r="AZ97" i="1"/>
  <c r="BB97" i="1" s="1"/>
  <c r="BE97" i="1" s="1"/>
  <c r="AW97" i="1"/>
  <c r="AY98" i="1" s="1"/>
  <c r="BA31" i="1"/>
  <c r="AW31" i="1"/>
  <c r="AZ31" i="1"/>
  <c r="BB152" i="1"/>
  <c r="BE152" i="1" s="1"/>
  <c r="AQ121" i="1"/>
  <c r="BE121" i="1" s="1"/>
  <c r="AQ68" i="1"/>
  <c r="BE68" i="1" s="1"/>
  <c r="AQ130" i="1"/>
  <c r="BE130" i="1" s="1"/>
  <c r="AQ61" i="1"/>
  <c r="BE61" i="1" s="1"/>
  <c r="AL77" i="1"/>
  <c r="AN78" i="1" s="1"/>
  <c r="AO77" i="1"/>
  <c r="AP77" i="1"/>
  <c r="AL171" i="1"/>
  <c r="AO171" i="1"/>
  <c r="AP171" i="1"/>
  <c r="AO167" i="1"/>
  <c r="AP167" i="1"/>
  <c r="AL167" i="1"/>
  <c r="AN168" i="1" s="1"/>
  <c r="AL117" i="1"/>
  <c r="AP117" i="1"/>
  <c r="AO117" i="1"/>
  <c r="AQ117" i="1" s="1"/>
  <c r="BE117" i="1" s="1"/>
  <c r="AL62" i="1"/>
  <c r="AP62" i="1"/>
  <c r="AO62" i="1"/>
  <c r="AQ62" i="1" s="1"/>
  <c r="BE62" i="1" s="1"/>
  <c r="AQ166" i="1"/>
  <c r="BE166" i="1" s="1"/>
  <c r="AQ109" i="1"/>
  <c r="BE109" i="1" s="1"/>
  <c r="AL26" i="1"/>
  <c r="AO26" i="1"/>
  <c r="AP26" i="1"/>
  <c r="AQ122" i="1"/>
  <c r="BE122" i="1" s="1"/>
  <c r="AP90" i="1"/>
  <c r="AL90" i="1"/>
  <c r="AN91" i="1" s="1"/>
  <c r="AO90" i="1"/>
  <c r="AQ90" i="1" s="1"/>
  <c r="BE90" i="1" s="1"/>
  <c r="BF22" i="1"/>
  <c r="AQ156" i="1"/>
  <c r="BE156" i="1" s="1"/>
  <c r="AQ142" i="1"/>
  <c r="BE142" i="1" s="1"/>
  <c r="BB131" i="1"/>
  <c r="BE131" i="1" s="1"/>
  <c r="AQ126" i="1"/>
  <c r="BE126" i="1" s="1"/>
  <c r="BB123" i="1"/>
  <c r="BE123" i="1" s="1"/>
  <c r="AQ119" i="1"/>
  <c r="BE119" i="1" s="1"/>
  <c r="BB96" i="1"/>
  <c r="BE96" i="1" s="1"/>
  <c r="BE89" i="1"/>
  <c r="BB30" i="1"/>
  <c r="BC26" i="1"/>
  <c r="BC27" i="1" s="1"/>
  <c r="BC28" i="1" s="1"/>
  <c r="BC29" i="1" s="1"/>
  <c r="AR23" i="1"/>
  <c r="AR24" i="1" s="1"/>
  <c r="AR25" i="1" s="1"/>
  <c r="BE147" i="1"/>
  <c r="BE55" i="1"/>
  <c r="BE107" i="1"/>
  <c r="BE58" i="1"/>
  <c r="BE23" i="1"/>
  <c r="BB43" i="1" l="1"/>
  <c r="BE43" i="1" s="1"/>
  <c r="BC30" i="1"/>
  <c r="BB31" i="1"/>
  <c r="BB174" i="1"/>
  <c r="BE174" i="1" s="1"/>
  <c r="AW37" i="1"/>
  <c r="AY38" i="1" s="1"/>
  <c r="AZ37" i="1"/>
  <c r="BA37" i="1"/>
  <c r="BA98" i="1"/>
  <c r="AW98" i="1"/>
  <c r="AY99" i="1" s="1"/>
  <c r="AZ98" i="1"/>
  <c r="BB98" i="1" s="1"/>
  <c r="BE98" i="1" s="1"/>
  <c r="BB64" i="1"/>
  <c r="BE64" i="1" s="1"/>
  <c r="BB111" i="1"/>
  <c r="BE111" i="1" s="1"/>
  <c r="AQ77" i="1"/>
  <c r="BE77" i="1" s="1"/>
  <c r="AQ26" i="1"/>
  <c r="BF23" i="1"/>
  <c r="BF24" i="1" s="1"/>
  <c r="BF25" i="1" s="1"/>
  <c r="AO78" i="1"/>
  <c r="AP78" i="1"/>
  <c r="AL78" i="1"/>
  <c r="AO168" i="1"/>
  <c r="AL168" i="1"/>
  <c r="AP168" i="1"/>
  <c r="AQ171" i="1"/>
  <c r="BE171" i="1" s="1"/>
  <c r="AQ167" i="1"/>
  <c r="BE167" i="1" s="1"/>
  <c r="AO91" i="1"/>
  <c r="AL91" i="1"/>
  <c r="AP91" i="1"/>
  <c r="BE30" i="1"/>
  <c r="BC31" i="1" l="1"/>
  <c r="BC32" i="1" s="1"/>
  <c r="BC33" i="1" s="1"/>
  <c r="BC34" i="1" s="1"/>
  <c r="BC35" i="1" s="1"/>
  <c r="BC36" i="1" s="1"/>
  <c r="BE31" i="1"/>
  <c r="AW38" i="1"/>
  <c r="BA38" i="1"/>
  <c r="AZ38" i="1"/>
  <c r="BB38" i="1" s="1"/>
  <c r="BE38" i="1" s="1"/>
  <c r="AZ99" i="1"/>
  <c r="AW99" i="1"/>
  <c r="AY100" i="1" s="1"/>
  <c r="BA99" i="1"/>
  <c r="BB37" i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BE26" i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AQ78" i="1"/>
  <c r="AQ168" i="1"/>
  <c r="BE168" i="1" s="1"/>
  <c r="AQ91" i="1"/>
  <c r="BE91" i="1" s="1"/>
  <c r="BA100" i="1" l="1"/>
  <c r="AW100" i="1"/>
  <c r="AY101" i="1" s="1"/>
  <c r="AZ100" i="1"/>
  <c r="BE37" i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C37" i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B99" i="1"/>
  <c r="AQ19" i="1"/>
  <c r="AQ15" i="1"/>
  <c r="BE78" i="1"/>
  <c r="AR78" i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4" i="1"/>
  <c r="BB100" i="1" l="1"/>
  <c r="BE100" i="1" s="1"/>
  <c r="AZ101" i="1"/>
  <c r="BA101" i="1"/>
  <c r="AW101" i="1"/>
  <c r="AY102" i="1" s="1"/>
  <c r="BC99" i="1"/>
  <c r="BC100" i="1" s="1"/>
  <c r="BE99" i="1"/>
  <c r="BF78" i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AQ16" i="1"/>
  <c r="AI1" i="1" s="1"/>
  <c r="AZ102" i="1" l="1"/>
  <c r="AW102" i="1"/>
  <c r="AY103" i="1" s="1"/>
  <c r="BA102" i="1"/>
  <c r="BB101" i="1"/>
  <c r="AW103" i="1" l="1"/>
  <c r="AY104" i="1" s="1"/>
  <c r="AZ103" i="1"/>
  <c r="BA103" i="1"/>
  <c r="BE101" i="1"/>
  <c r="BC101" i="1"/>
  <c r="BB102" i="1"/>
  <c r="BA104" i="1" l="1"/>
  <c r="AZ104" i="1"/>
  <c r="BB104" i="1" s="1"/>
  <c r="AW104" i="1"/>
  <c r="BF101" i="1"/>
  <c r="BC102" i="1"/>
  <c r="BB103" i="1"/>
  <c r="BE103" i="1" s="1"/>
  <c r="BE102" i="1"/>
  <c r="BB15" i="1"/>
  <c r="BB19" i="1"/>
  <c r="BF102" i="1" l="1"/>
  <c r="BB14" i="1"/>
  <c r="BB16" i="1" s="1"/>
  <c r="AT1" i="1" s="1"/>
  <c r="BE104" i="1"/>
  <c r="BF103" i="1"/>
  <c r="BC103" i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8" i="1" l="1"/>
  <c r="BE14" i="1"/>
  <c r="BE16" i="1" s="1"/>
  <c r="BE15" i="1"/>
  <c r="BF104" i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</calcChain>
</file>

<file path=xl/sharedStrings.xml><?xml version="1.0" encoding="utf-8"?>
<sst xmlns="http://schemas.openxmlformats.org/spreadsheetml/2006/main" count="74" uniqueCount="53">
  <si>
    <t>date</t>
  </si>
  <si>
    <t>BRK B</t>
  </si>
  <si>
    <t>BRK A</t>
  </si>
  <si>
    <t>BRK B log rtn</t>
  </si>
  <si>
    <t>BRK A log rtn</t>
  </si>
  <si>
    <t>BRK B div</t>
  </si>
  <si>
    <t>BRK B div cumsum</t>
  </si>
  <si>
    <t>BRK A div</t>
  </si>
  <si>
    <t>BRK A div cumsum</t>
  </si>
  <si>
    <t>BRK B div adjustment</t>
  </si>
  <si>
    <t>BRK A div adjustment</t>
  </si>
  <si>
    <t>BRK B*</t>
  </si>
  <si>
    <t>BRK A*</t>
  </si>
  <si>
    <t>BRK A/BRK B</t>
  </si>
  <si>
    <t>BRK A/BRK B avg</t>
  </si>
  <si>
    <t>BRK A/BRK B 10 dma</t>
  </si>
  <si>
    <t>BRK A/BRK B 20 dma</t>
  </si>
  <si>
    <t>BRK B x avg</t>
  </si>
  <si>
    <t>BRK B x 10 dma</t>
  </si>
  <si>
    <t>BRK B x 20 dma</t>
  </si>
  <si>
    <t>log diff BRK B x avg / BRK A</t>
  </si>
  <si>
    <t>log diff BRK B x 10 dma / BRK A</t>
  </si>
  <si>
    <t>log diff BRK B x 20 dma / BRK A</t>
  </si>
  <si>
    <t>BRK A*/BRK B*</t>
  </si>
  <si>
    <t>BRK A*/BRK B* avg</t>
  </si>
  <si>
    <t>BRK A*/BRK B* 10 dma</t>
  </si>
  <si>
    <t>BRK A*/BRK B* 20 dma</t>
  </si>
  <si>
    <t>BRK B* x avg</t>
  </si>
  <si>
    <t>BRK B* x 10 dma</t>
  </si>
  <si>
    <t>BRK B* x 20 dma</t>
  </si>
  <si>
    <t>log diff BRK B* x avg / BRK A*</t>
  </si>
  <si>
    <t>log diff BRK B* x 10 dma / BRK A*</t>
  </si>
  <si>
    <t>log diff BRK B* x 20 dma / BRK 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</si>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</sst>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43" fontId="0" fillId="0" borderId="10" xfId="1" applyFont="1" applyBorder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BRK A/BRK 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1499.9485700668399</c:v>
                </c:pt>
                <c:pt idx="1">
                  <c:v>1499.9485700668399</c:v>
                </c:pt>
                <c:pt idx="2">
                  <c:v>1499.9485700668399</c:v>
                </c:pt>
                <c:pt idx="3">
                  <c:v>1499.9485700668399</c:v>
                </c:pt>
                <c:pt idx="4">
                  <c:v>1499.9485700668399</c:v>
                </c:pt>
                <c:pt idx="5">
                  <c:v>1499.9485700668399</c:v>
                </c:pt>
                <c:pt idx="6">
                  <c:v>1499.9485700668399</c:v>
                </c:pt>
                <c:pt idx="7">
                  <c:v>1499.9485700668399</c:v>
                </c:pt>
                <c:pt idx="8">
                  <c:v>1499.9485700668399</c:v>
                </c:pt>
                <c:pt idx="9">
                  <c:v>1499.9485700668399</c:v>
                </c:pt>
                <c:pt idx="10">
                  <c:v>1499.9485700668399</c:v>
                </c:pt>
                <c:pt idx="11">
                  <c:v>1499.9485700668399</c:v>
                </c:pt>
                <c:pt idx="12">
                  <c:v>1499.9485700668399</c:v>
                </c:pt>
                <c:pt idx="13">
                  <c:v>1499.9485700668399</c:v>
                </c:pt>
                <c:pt idx="14">
                  <c:v>1499.9485700668399</c:v>
                </c:pt>
                <c:pt idx="15">
                  <c:v>1499.9485700668399</c:v>
                </c:pt>
                <c:pt idx="16">
                  <c:v>1499.9485700668399</c:v>
                </c:pt>
                <c:pt idx="17">
                  <c:v>1499.9485700668399</c:v>
                </c:pt>
                <c:pt idx="18">
                  <c:v>1499.9485700668399</c:v>
                </c:pt>
                <c:pt idx="19">
                  <c:v>1499.9485700668399</c:v>
                </c:pt>
                <c:pt idx="20">
                  <c:v>1499.9485700668399</c:v>
                </c:pt>
                <c:pt idx="21">
                  <c:v>1499.9485700668399</c:v>
                </c:pt>
                <c:pt idx="22">
                  <c:v>1499.9485700668399</c:v>
                </c:pt>
                <c:pt idx="23">
                  <c:v>1499.9485700668399</c:v>
                </c:pt>
                <c:pt idx="24">
                  <c:v>1499.9485700668399</c:v>
                </c:pt>
                <c:pt idx="25">
                  <c:v>1499.9485700668399</c:v>
                </c:pt>
                <c:pt idx="26">
                  <c:v>1499.9485700668399</c:v>
                </c:pt>
                <c:pt idx="27">
                  <c:v>1499.9485700668399</c:v>
                </c:pt>
                <c:pt idx="28">
                  <c:v>1499.9485700668399</c:v>
                </c:pt>
                <c:pt idx="29">
                  <c:v>1499.9485700668399</c:v>
                </c:pt>
                <c:pt idx="30">
                  <c:v>1499.9485700668399</c:v>
                </c:pt>
                <c:pt idx="31">
                  <c:v>1499.9485700668399</c:v>
                </c:pt>
                <c:pt idx="32">
                  <c:v>1499.9485700668399</c:v>
                </c:pt>
                <c:pt idx="33">
                  <c:v>1499.9485700668399</c:v>
                </c:pt>
                <c:pt idx="34">
                  <c:v>1499.9485700668399</c:v>
                </c:pt>
                <c:pt idx="35">
                  <c:v>1499.9485700668399</c:v>
                </c:pt>
                <c:pt idx="36">
                  <c:v>1499.9485700668399</c:v>
                </c:pt>
                <c:pt idx="37">
                  <c:v>1499.9485700668399</c:v>
                </c:pt>
                <c:pt idx="38">
                  <c:v>1499.9485700668399</c:v>
                </c:pt>
                <c:pt idx="39">
                  <c:v>1499.9485700668399</c:v>
                </c:pt>
                <c:pt idx="40">
                  <c:v>1499.9485700668399</c:v>
                </c:pt>
                <c:pt idx="41">
                  <c:v>1499.9485700668399</c:v>
                </c:pt>
                <c:pt idx="42">
                  <c:v>1499.9485700668399</c:v>
                </c:pt>
                <c:pt idx="43">
                  <c:v>1499.9485700668399</c:v>
                </c:pt>
                <c:pt idx="44">
                  <c:v>1499.9485700668399</c:v>
                </c:pt>
                <c:pt idx="45">
                  <c:v>1499.9485700668399</c:v>
                </c:pt>
                <c:pt idx="46">
                  <c:v>1499.9485700668399</c:v>
                </c:pt>
                <c:pt idx="47">
                  <c:v>1499.9485700668399</c:v>
                </c:pt>
                <c:pt idx="48">
                  <c:v>1499.9485700668399</c:v>
                </c:pt>
                <c:pt idx="49">
                  <c:v>1499.9485700668399</c:v>
                </c:pt>
                <c:pt idx="50">
                  <c:v>1499.9485700668399</c:v>
                </c:pt>
                <c:pt idx="51">
                  <c:v>1499.9485700668399</c:v>
                </c:pt>
                <c:pt idx="52">
                  <c:v>1499.9485700668399</c:v>
                </c:pt>
                <c:pt idx="53">
                  <c:v>1499.9485700668399</c:v>
                </c:pt>
                <c:pt idx="54">
                  <c:v>1499.9485700668399</c:v>
                </c:pt>
                <c:pt idx="55">
                  <c:v>1499.9485700668399</c:v>
                </c:pt>
                <c:pt idx="56">
                  <c:v>1499.9485700668399</c:v>
                </c:pt>
                <c:pt idx="57">
                  <c:v>1499.9485700668399</c:v>
                </c:pt>
                <c:pt idx="58">
                  <c:v>1499.9485700668399</c:v>
                </c:pt>
                <c:pt idx="59">
                  <c:v>1499.9485700668399</c:v>
                </c:pt>
                <c:pt idx="60">
                  <c:v>1499.9485700668399</c:v>
                </c:pt>
                <c:pt idx="61">
                  <c:v>1499.9485700668399</c:v>
                </c:pt>
                <c:pt idx="62">
                  <c:v>1499.9485700668399</c:v>
                </c:pt>
                <c:pt idx="63">
                  <c:v>1499.9485700668399</c:v>
                </c:pt>
                <c:pt idx="64">
                  <c:v>1499.9485700668399</c:v>
                </c:pt>
                <c:pt idx="65">
                  <c:v>1499.9485700668399</c:v>
                </c:pt>
                <c:pt idx="66">
                  <c:v>1499.9485700668399</c:v>
                </c:pt>
                <c:pt idx="67">
                  <c:v>1499.9485700668399</c:v>
                </c:pt>
                <c:pt idx="68">
                  <c:v>1499.9485700668399</c:v>
                </c:pt>
                <c:pt idx="69">
                  <c:v>1499.9485700668399</c:v>
                </c:pt>
                <c:pt idx="70">
                  <c:v>1499.9485700668399</c:v>
                </c:pt>
                <c:pt idx="71">
                  <c:v>1499.9485700668399</c:v>
                </c:pt>
                <c:pt idx="72">
                  <c:v>1499.9485700668399</c:v>
                </c:pt>
                <c:pt idx="73">
                  <c:v>1499.9485700668399</c:v>
                </c:pt>
                <c:pt idx="74">
                  <c:v>1499.9485700668399</c:v>
                </c:pt>
                <c:pt idx="75">
                  <c:v>1499.9485700668399</c:v>
                </c:pt>
                <c:pt idx="76">
                  <c:v>1499.9485700668399</c:v>
                </c:pt>
                <c:pt idx="77">
                  <c:v>1499.9485700668399</c:v>
                </c:pt>
                <c:pt idx="78">
                  <c:v>1499.9485700668399</c:v>
                </c:pt>
                <c:pt idx="79">
                  <c:v>1499.9485700668399</c:v>
                </c:pt>
                <c:pt idx="80">
                  <c:v>1499.9485700668399</c:v>
                </c:pt>
                <c:pt idx="81">
                  <c:v>1499.9485700668399</c:v>
                </c:pt>
                <c:pt idx="82">
                  <c:v>1499.9485700668399</c:v>
                </c:pt>
                <c:pt idx="83">
                  <c:v>1499.9485700668399</c:v>
                </c:pt>
                <c:pt idx="84">
                  <c:v>1499.9485700668399</c:v>
                </c:pt>
                <c:pt idx="85">
                  <c:v>1499.9485700668399</c:v>
                </c:pt>
                <c:pt idx="86">
                  <c:v>1499.9485700668399</c:v>
                </c:pt>
                <c:pt idx="87">
                  <c:v>1499.9485700668399</c:v>
                </c:pt>
                <c:pt idx="88">
                  <c:v>1499.9485700668399</c:v>
                </c:pt>
                <c:pt idx="89">
                  <c:v>1499.9485700668399</c:v>
                </c:pt>
                <c:pt idx="90">
                  <c:v>1499.9485700668399</c:v>
                </c:pt>
                <c:pt idx="91">
                  <c:v>1499.9485700668399</c:v>
                </c:pt>
                <c:pt idx="92">
                  <c:v>1499.9485700668399</c:v>
                </c:pt>
                <c:pt idx="93">
                  <c:v>1499.9485700668399</c:v>
                </c:pt>
                <c:pt idx="94">
                  <c:v>1499.9485700668399</c:v>
                </c:pt>
                <c:pt idx="95">
                  <c:v>1499.9485700668399</c:v>
                </c:pt>
                <c:pt idx="96">
                  <c:v>1499.9485700668399</c:v>
                </c:pt>
                <c:pt idx="97">
                  <c:v>1499.9485700668399</c:v>
                </c:pt>
                <c:pt idx="98">
                  <c:v>1499.9485700668399</c:v>
                </c:pt>
                <c:pt idx="99">
                  <c:v>1499.9485700668399</c:v>
                </c:pt>
                <c:pt idx="100">
                  <c:v>1499.9485700668399</c:v>
                </c:pt>
                <c:pt idx="101">
                  <c:v>1499.9485700668399</c:v>
                </c:pt>
                <c:pt idx="102">
                  <c:v>1499.9485700668399</c:v>
                </c:pt>
                <c:pt idx="103">
                  <c:v>1499.9485700668399</c:v>
                </c:pt>
                <c:pt idx="104">
                  <c:v>1499.9485700668399</c:v>
                </c:pt>
                <c:pt idx="105">
                  <c:v>1499.9485700668399</c:v>
                </c:pt>
                <c:pt idx="106">
                  <c:v>1499.9485700668399</c:v>
                </c:pt>
                <c:pt idx="107">
                  <c:v>1499.9485700668399</c:v>
                </c:pt>
                <c:pt idx="108">
                  <c:v>1499.9485700668399</c:v>
                </c:pt>
                <c:pt idx="109">
                  <c:v>1499.9485700668399</c:v>
                </c:pt>
                <c:pt idx="110">
                  <c:v>1499.9485700668399</c:v>
                </c:pt>
                <c:pt idx="111">
                  <c:v>1499.9485700668399</c:v>
                </c:pt>
                <c:pt idx="112">
                  <c:v>1499.9485700668399</c:v>
                </c:pt>
                <c:pt idx="113">
                  <c:v>1499.9485700668399</c:v>
                </c:pt>
                <c:pt idx="114">
                  <c:v>1499.9485700668399</c:v>
                </c:pt>
                <c:pt idx="115">
                  <c:v>1499.9485700668399</c:v>
                </c:pt>
                <c:pt idx="116">
                  <c:v>1499.9485700668399</c:v>
                </c:pt>
                <c:pt idx="117">
                  <c:v>1499.9485700668399</c:v>
                </c:pt>
                <c:pt idx="118">
                  <c:v>1499.9485700668399</c:v>
                </c:pt>
                <c:pt idx="119">
                  <c:v>1499.9485700668399</c:v>
                </c:pt>
                <c:pt idx="120">
                  <c:v>1499.9485700668399</c:v>
                </c:pt>
                <c:pt idx="121">
                  <c:v>1499.9485700668399</c:v>
                </c:pt>
                <c:pt idx="122">
                  <c:v>1499.9485700668399</c:v>
                </c:pt>
                <c:pt idx="123">
                  <c:v>1499.9485700668399</c:v>
                </c:pt>
                <c:pt idx="124">
                  <c:v>1499.9485700668399</c:v>
                </c:pt>
                <c:pt idx="125">
                  <c:v>1499.9485700668399</c:v>
                </c:pt>
                <c:pt idx="126">
                  <c:v>1499.9485700668399</c:v>
                </c:pt>
                <c:pt idx="127">
                  <c:v>1499.9485700668399</c:v>
                </c:pt>
                <c:pt idx="128">
                  <c:v>1499.9485700668399</c:v>
                </c:pt>
                <c:pt idx="129">
                  <c:v>1499.9485700668399</c:v>
                </c:pt>
                <c:pt idx="130">
                  <c:v>1499.9485700668399</c:v>
                </c:pt>
                <c:pt idx="131">
                  <c:v>1499.9485700668399</c:v>
                </c:pt>
                <c:pt idx="132">
                  <c:v>1499.9485700668399</c:v>
                </c:pt>
                <c:pt idx="133">
                  <c:v>1499.9485700668399</c:v>
                </c:pt>
                <c:pt idx="134">
                  <c:v>1499.9485700668399</c:v>
                </c:pt>
                <c:pt idx="135">
                  <c:v>1499.9485700668399</c:v>
                </c:pt>
                <c:pt idx="136">
                  <c:v>1499.9485700668399</c:v>
                </c:pt>
                <c:pt idx="137">
                  <c:v>1499.9485700668399</c:v>
                </c:pt>
                <c:pt idx="138">
                  <c:v>1499.9485700668399</c:v>
                </c:pt>
                <c:pt idx="139">
                  <c:v>1499.9485700668399</c:v>
                </c:pt>
                <c:pt idx="140">
                  <c:v>1499.9485700668399</c:v>
                </c:pt>
                <c:pt idx="141">
                  <c:v>1499.9485700668399</c:v>
                </c:pt>
                <c:pt idx="142">
                  <c:v>1499.9485700668399</c:v>
                </c:pt>
                <c:pt idx="143">
                  <c:v>1499.9485700668399</c:v>
                </c:pt>
                <c:pt idx="144">
                  <c:v>1499.9485700668399</c:v>
                </c:pt>
                <c:pt idx="145">
                  <c:v>1499.9485700668399</c:v>
                </c:pt>
                <c:pt idx="146">
                  <c:v>1499.9485700668399</c:v>
                </c:pt>
                <c:pt idx="147">
                  <c:v>1499.9485700668399</c:v>
                </c:pt>
                <c:pt idx="148">
                  <c:v>1499.9485700668399</c:v>
                </c:pt>
                <c:pt idx="149">
                  <c:v>1499.9485700668399</c:v>
                </c:pt>
                <c:pt idx="150">
                  <c:v>1499.9485700668399</c:v>
                </c:pt>
                <c:pt idx="151">
                  <c:v>1499.9485700668399</c:v>
                </c:pt>
                <c:pt idx="152">
                  <c:v>1499.9485700668399</c:v>
                </c:pt>
                <c:pt idx="153">
                  <c:v>1499.9485700668399</c:v>
                </c:pt>
                <c:pt idx="154">
                  <c:v>1499.9485700668399</c:v>
                </c:pt>
                <c:pt idx="155">
                  <c:v>1499.9485700668399</c:v>
                </c:pt>
                <c:pt idx="156">
                  <c:v>1499.9485700668399</c:v>
                </c:pt>
                <c:pt idx="157">
                  <c:v>1499.9485700668399</c:v>
                </c:pt>
                <c:pt idx="158">
                  <c:v>1499.9485700668399</c:v>
                </c:pt>
                <c:pt idx="159">
                  <c:v>1499.9485700668399</c:v>
                </c:pt>
                <c:pt idx="160">
                  <c:v>1499.9485700668399</c:v>
                </c:pt>
                <c:pt idx="161">
                  <c:v>1499.9485700668399</c:v>
                </c:pt>
                <c:pt idx="162">
                  <c:v>1499.9485700668399</c:v>
                </c:pt>
                <c:pt idx="163">
                  <c:v>1499.9485700668399</c:v>
                </c:pt>
                <c:pt idx="164">
                  <c:v>1499.9485700668399</c:v>
                </c:pt>
                <c:pt idx="165">
                  <c:v>1499.9485700668399</c:v>
                </c:pt>
                <c:pt idx="166">
                  <c:v>1499.9485700668399</c:v>
                </c:pt>
                <c:pt idx="167">
                  <c:v>1499.9485700668399</c:v>
                </c:pt>
                <c:pt idx="168">
                  <c:v>1499.9485700668399</c:v>
                </c:pt>
                <c:pt idx="169">
                  <c:v>1499.9485700668399</c:v>
                </c:pt>
                <c:pt idx="170">
                  <c:v>1499.9485700668399</c:v>
                </c:pt>
                <c:pt idx="171">
                  <c:v>1499.9485700668399</c:v>
                </c:pt>
                <c:pt idx="172">
                  <c:v>1499.9485700668399</c:v>
                </c:pt>
                <c:pt idx="173">
                  <c:v>1499.9485700668399</c:v>
                </c:pt>
                <c:pt idx="174">
                  <c:v>1499.9485700668399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2-4937-9C9D-2E855B17AE30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BRK A/BRK 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1500.48488258315</c:v>
                </c:pt>
                <c:pt idx="10">
                  <c:v>1500.8825643246901</c:v>
                </c:pt>
                <c:pt idx="11">
                  <c:v>1500.66777597746</c:v>
                </c:pt>
                <c:pt idx="12">
                  <c:v>1500.43876241505</c:v>
                </c:pt>
                <c:pt idx="13">
                  <c:v>1500.1630544263501</c:v>
                </c:pt>
                <c:pt idx="14">
                  <c:v>1500.55118611485</c:v>
                </c:pt>
                <c:pt idx="15">
                  <c:v>1500.9207071486301</c:v>
                </c:pt>
                <c:pt idx="16">
                  <c:v>1501.1594038088399</c:v>
                </c:pt>
                <c:pt idx="17">
                  <c:v>1501.1172499859099</c:v>
                </c:pt>
                <c:pt idx="18">
                  <c:v>1500.1158608206999</c:v>
                </c:pt>
                <c:pt idx="19">
                  <c:v>1500.5192178345701</c:v>
                </c:pt>
                <c:pt idx="20">
                  <c:v>1500.04412354429</c:v>
                </c:pt>
                <c:pt idx="21">
                  <c:v>1500.0714420773199</c:v>
                </c:pt>
                <c:pt idx="22">
                  <c:v>1500.8414133961501</c:v>
                </c:pt>
                <c:pt idx="23">
                  <c:v>1501.1717280534699</c:v>
                </c:pt>
                <c:pt idx="24">
                  <c:v>1500.7400789292101</c:v>
                </c:pt>
                <c:pt idx="25">
                  <c:v>1500.6264995573399</c:v>
                </c:pt>
                <c:pt idx="26">
                  <c:v>1500.33093181193</c:v>
                </c:pt>
                <c:pt idx="27">
                  <c:v>1500.1714127130001</c:v>
                </c:pt>
                <c:pt idx="28">
                  <c:v>1500.32495170476</c:v>
                </c:pt>
                <c:pt idx="29">
                  <c:v>1500.9951577588299</c:v>
                </c:pt>
                <c:pt idx="30">
                  <c:v>1501.26431256</c:v>
                </c:pt>
                <c:pt idx="31">
                  <c:v>1501.2282629210399</c:v>
                </c:pt>
                <c:pt idx="32">
                  <c:v>1500.9413738410999</c:v>
                </c:pt>
                <c:pt idx="33">
                  <c:v>1500.5609064984601</c:v>
                </c:pt>
                <c:pt idx="34">
                  <c:v>1500.28612778819</c:v>
                </c:pt>
                <c:pt idx="35">
                  <c:v>1500.03414439472</c:v>
                </c:pt>
                <c:pt idx="36">
                  <c:v>1500.3255625720101</c:v>
                </c:pt>
                <c:pt idx="37">
                  <c:v>1500.49011403905</c:v>
                </c:pt>
                <c:pt idx="38">
                  <c:v>1500.5009453899099</c:v>
                </c:pt>
                <c:pt idx="39">
                  <c:v>1499.42281658756</c:v>
                </c:pt>
                <c:pt idx="40">
                  <c:v>1499.2568079326199</c:v>
                </c:pt>
                <c:pt idx="41">
                  <c:v>1499.28081323317</c:v>
                </c:pt>
                <c:pt idx="42">
                  <c:v>1499.171915511</c:v>
                </c:pt>
                <c:pt idx="43">
                  <c:v>1499.1982196732999</c:v>
                </c:pt>
                <c:pt idx="44">
                  <c:v>1499.26678066763</c:v>
                </c:pt>
                <c:pt idx="45">
                  <c:v>1499.1361653072699</c:v>
                </c:pt>
                <c:pt idx="46">
                  <c:v>1498.858770606</c:v>
                </c:pt>
                <c:pt idx="47">
                  <c:v>1498.76297859188</c:v>
                </c:pt>
                <c:pt idx="48">
                  <c:v>1498.80509485435</c:v>
                </c:pt>
                <c:pt idx="49">
                  <c:v>1498.7942039714901</c:v>
                </c:pt>
                <c:pt idx="50">
                  <c:v>1498.90356594523</c:v>
                </c:pt>
                <c:pt idx="51">
                  <c:v>1498.9747431953999</c:v>
                </c:pt>
                <c:pt idx="52">
                  <c:v>1499.0606318980799</c:v>
                </c:pt>
                <c:pt idx="53">
                  <c:v>1499.0477065820401</c:v>
                </c:pt>
                <c:pt idx="54">
                  <c:v>1499.1746326268601</c:v>
                </c:pt>
                <c:pt idx="55">
                  <c:v>1499.2640772206701</c:v>
                </c:pt>
                <c:pt idx="56">
                  <c:v>1499.48128242087</c:v>
                </c:pt>
                <c:pt idx="57">
                  <c:v>1499.6420576579201</c:v>
                </c:pt>
                <c:pt idx="58">
                  <c:v>1499.89008906205</c:v>
                </c:pt>
                <c:pt idx="59">
                  <c:v>1500.1036668889999</c:v>
                </c:pt>
                <c:pt idx="60">
                  <c:v>1500.0633062950501</c:v>
                </c:pt>
                <c:pt idx="61">
                  <c:v>1499.7855563989499</c:v>
                </c:pt>
                <c:pt idx="62">
                  <c:v>1499.72732537823</c:v>
                </c:pt>
                <c:pt idx="63">
                  <c:v>1500.2796633678399</c:v>
                </c:pt>
                <c:pt idx="64">
                  <c:v>1500.2232123041999</c:v>
                </c:pt>
                <c:pt idx="65">
                  <c:v>1500.5635255478001</c:v>
                </c:pt>
                <c:pt idx="66">
                  <c:v>1500.43484876501</c:v>
                </c:pt>
                <c:pt idx="67">
                  <c:v>1500.5519201218699</c:v>
                </c:pt>
                <c:pt idx="68">
                  <c:v>1500.44277587327</c:v>
                </c:pt>
                <c:pt idx="69">
                  <c:v>1500.39228420227</c:v>
                </c:pt>
                <c:pt idx="70">
                  <c:v>1500.5510013277201</c:v>
                </c:pt>
                <c:pt idx="71">
                  <c:v>1500.8670185230901</c:v>
                </c:pt>
                <c:pt idx="72">
                  <c:v>1500.7438371393901</c:v>
                </c:pt>
                <c:pt idx="73">
                  <c:v>1500.0484933346299</c:v>
                </c:pt>
                <c:pt idx="74">
                  <c:v>1500.3014689510701</c:v>
                </c:pt>
                <c:pt idx="75">
                  <c:v>1501.1651413667601</c:v>
                </c:pt>
                <c:pt idx="76">
                  <c:v>1501.22079377506</c:v>
                </c:pt>
                <c:pt idx="77">
                  <c:v>1501.3551350416101</c:v>
                </c:pt>
                <c:pt idx="78">
                  <c:v>1501.12823767188</c:v>
                </c:pt>
                <c:pt idx="79">
                  <c:v>1501.0939804457801</c:v>
                </c:pt>
                <c:pt idx="80">
                  <c:v>1501.05828042901</c:v>
                </c:pt>
                <c:pt idx="81">
                  <c:v>1501.3707939391099</c:v>
                </c:pt>
                <c:pt idx="82">
                  <c:v>1501.6023240388699</c:v>
                </c:pt>
                <c:pt idx="83">
                  <c:v>1501.8947296352601</c:v>
                </c:pt>
                <c:pt idx="84">
                  <c:v>1502.0538211220801</c:v>
                </c:pt>
                <c:pt idx="85">
                  <c:v>1501.2596080610299</c:v>
                </c:pt>
                <c:pt idx="86">
                  <c:v>1501.95143402909</c:v>
                </c:pt>
                <c:pt idx="87">
                  <c:v>1502.5157504762899</c:v>
                </c:pt>
                <c:pt idx="88">
                  <c:v>1502.9950969659601</c:v>
                </c:pt>
                <c:pt idx="89">
                  <c:v>1503.1488398383301</c:v>
                </c:pt>
                <c:pt idx="90">
                  <c:v>1503.00291214049</c:v>
                </c:pt>
                <c:pt idx="91">
                  <c:v>1502.91138025953</c:v>
                </c:pt>
                <c:pt idx="92">
                  <c:v>1502.6979803480999</c:v>
                </c:pt>
                <c:pt idx="93">
                  <c:v>1502.16956251188</c:v>
                </c:pt>
                <c:pt idx="94">
                  <c:v>1501.7889641633799</c:v>
                </c:pt>
                <c:pt idx="95">
                  <c:v>1501.42856569218</c:v>
                </c:pt>
                <c:pt idx="96">
                  <c:v>1500.3346784447699</c:v>
                </c:pt>
                <c:pt idx="97">
                  <c:v>1499.4131611747</c:v>
                </c:pt>
                <c:pt idx="98">
                  <c:v>1498.8715756464701</c:v>
                </c:pt>
                <c:pt idx="99">
                  <c:v>1498.46963702468</c:v>
                </c:pt>
                <c:pt idx="100">
                  <c:v>1498.53183135017</c:v>
                </c:pt>
                <c:pt idx="101">
                  <c:v>1498.13381948595</c:v>
                </c:pt>
                <c:pt idx="102">
                  <c:v>1498.12290547819</c:v>
                </c:pt>
                <c:pt idx="103">
                  <c:v>1498.6374581161499</c:v>
                </c:pt>
                <c:pt idx="104">
                  <c:v>1498.79025626048</c:v>
                </c:pt>
                <c:pt idx="105">
                  <c:v>1498.99554899993</c:v>
                </c:pt>
                <c:pt idx="106">
                  <c:v>1499.60294439476</c:v>
                </c:pt>
                <c:pt idx="107">
                  <c:v>1499.0105797578201</c:v>
                </c:pt>
                <c:pt idx="108">
                  <c:v>1498.83528821451</c:v>
                </c:pt>
                <c:pt idx="109">
                  <c:v>1499.3246395382</c:v>
                </c:pt>
                <c:pt idx="110">
                  <c:v>1498.98997639456</c:v>
                </c:pt>
                <c:pt idx="111">
                  <c:v>1498.79999696238</c:v>
                </c:pt>
                <c:pt idx="112">
                  <c:v>1498.60932112454</c:v>
                </c:pt>
                <c:pt idx="113">
                  <c:v>1498.6131061926001</c:v>
                </c:pt>
                <c:pt idx="114">
                  <c:v>1498.55638906269</c:v>
                </c:pt>
                <c:pt idx="115">
                  <c:v>1498.33859846413</c:v>
                </c:pt>
                <c:pt idx="116">
                  <c:v>1498.3403266550199</c:v>
                </c:pt>
                <c:pt idx="117">
                  <c:v>1498.8365774727899</c:v>
                </c:pt>
                <c:pt idx="118">
                  <c:v>1499.34260573137</c:v>
                </c:pt>
                <c:pt idx="119">
                  <c:v>1499.3820396747401</c:v>
                </c:pt>
                <c:pt idx="120">
                  <c:v>1499.2436169263201</c:v>
                </c:pt>
                <c:pt idx="121">
                  <c:v>1499.50762680813</c:v>
                </c:pt>
                <c:pt idx="122">
                  <c:v>1499.40992857782</c:v>
                </c:pt>
                <c:pt idx="123">
                  <c:v>1499.6959527968199</c:v>
                </c:pt>
                <c:pt idx="124">
                  <c:v>1499.6008796195799</c:v>
                </c:pt>
                <c:pt idx="125">
                  <c:v>1499.15288435547</c:v>
                </c:pt>
                <c:pt idx="126">
                  <c:v>1498.8735661783001</c:v>
                </c:pt>
                <c:pt idx="127">
                  <c:v>1500.3864554669799</c:v>
                </c:pt>
                <c:pt idx="128">
                  <c:v>1499.81509084963</c:v>
                </c:pt>
                <c:pt idx="129">
                  <c:v>1499.3045928121201</c:v>
                </c:pt>
                <c:pt idx="130">
                  <c:v>1499.79058562205</c:v>
                </c:pt>
                <c:pt idx="131">
                  <c:v>1499.9637004065401</c:v>
                </c:pt>
                <c:pt idx="132">
                  <c:v>1500.44455507267</c:v>
                </c:pt>
                <c:pt idx="133">
                  <c:v>1499.9271177703599</c:v>
                </c:pt>
                <c:pt idx="134">
                  <c:v>1499.8704902674699</c:v>
                </c:pt>
                <c:pt idx="135">
                  <c:v>1500.29962996463</c:v>
                </c:pt>
                <c:pt idx="136">
                  <c:v>1500.1058180581699</c:v>
                </c:pt>
                <c:pt idx="137">
                  <c:v>1498.60725693467</c:v>
                </c:pt>
                <c:pt idx="138">
                  <c:v>1499.1130051934999</c:v>
                </c:pt>
                <c:pt idx="139">
                  <c:v>1499.8044189156999</c:v>
                </c:pt>
                <c:pt idx="140">
                  <c:v>1499.9040372186</c:v>
                </c:pt>
                <c:pt idx="141">
                  <c:v>1499.7233443120101</c:v>
                </c:pt>
                <c:pt idx="142">
                  <c:v>1499.47668089846</c:v>
                </c:pt>
                <c:pt idx="143">
                  <c:v>1499.8081882885199</c:v>
                </c:pt>
                <c:pt idx="144">
                  <c:v>1499.7437434276301</c:v>
                </c:pt>
                <c:pt idx="145">
                  <c:v>1499.59662526546</c:v>
                </c:pt>
                <c:pt idx="146">
                  <c:v>1499.4946249450099</c:v>
                </c:pt>
                <c:pt idx="147">
                  <c:v>1499.6558205726101</c:v>
                </c:pt>
                <c:pt idx="148">
                  <c:v>1499.4085846753901</c:v>
                </c:pt>
                <c:pt idx="149">
                  <c:v>1498.3812893960801</c:v>
                </c:pt>
                <c:pt idx="150">
                  <c:v>1498.3077468020899</c:v>
                </c:pt>
                <c:pt idx="151">
                  <c:v>1498.49738725576</c:v>
                </c:pt>
                <c:pt idx="152">
                  <c:v>1498.41384712276</c:v>
                </c:pt>
                <c:pt idx="153">
                  <c:v>1498.63824416079</c:v>
                </c:pt>
                <c:pt idx="154">
                  <c:v>1498.68280031364</c:v>
                </c:pt>
                <c:pt idx="155">
                  <c:v>1498.9783621343099</c:v>
                </c:pt>
                <c:pt idx="156">
                  <c:v>1499.1071630680699</c:v>
                </c:pt>
                <c:pt idx="157">
                  <c:v>1499.3668685795501</c:v>
                </c:pt>
                <c:pt idx="158">
                  <c:v>1499.4024117425799</c:v>
                </c:pt>
                <c:pt idx="159">
                  <c:v>1499.8569821620999</c:v>
                </c:pt>
                <c:pt idx="160">
                  <c:v>1499.7480998532999</c:v>
                </c:pt>
                <c:pt idx="161">
                  <c:v>1499.44373806005</c:v>
                </c:pt>
                <c:pt idx="162">
                  <c:v>1499.55322878273</c:v>
                </c:pt>
                <c:pt idx="163">
                  <c:v>1499.3146654632701</c:v>
                </c:pt>
                <c:pt idx="164">
                  <c:v>1499.5049454894199</c:v>
                </c:pt>
                <c:pt idx="165">
                  <c:v>1499.6139389488301</c:v>
                </c:pt>
                <c:pt idx="166">
                  <c:v>1499.5014527005201</c:v>
                </c:pt>
                <c:pt idx="167">
                  <c:v>1499.4800126074599</c:v>
                </c:pt>
                <c:pt idx="168">
                  <c:v>1499.78163835039</c:v>
                </c:pt>
                <c:pt idx="169">
                  <c:v>1499.8882992587601</c:v>
                </c:pt>
                <c:pt idx="170">
                  <c:v>1499.8680438403301</c:v>
                </c:pt>
                <c:pt idx="171">
                  <c:v>1499.9038241834801</c:v>
                </c:pt>
                <c:pt idx="172">
                  <c:v>1500.1373546929699</c:v>
                </c:pt>
                <c:pt idx="173">
                  <c:v>1500.1464978967199</c:v>
                </c:pt>
                <c:pt idx="174">
                  <c:v>1499.9232614775301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2-4937-9C9D-2E855B17AE30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BRK A/BRK 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1500.5020502088601</c:v>
                </c:pt>
                <c:pt idx="20">
                  <c:v>1500.46334393449</c:v>
                </c:pt>
                <c:pt idx="21">
                  <c:v>1500.36960902739</c:v>
                </c:pt>
                <c:pt idx="22">
                  <c:v>1500.6400879056</c:v>
                </c:pt>
                <c:pt idx="23">
                  <c:v>1500.6673912399101</c:v>
                </c:pt>
                <c:pt idx="24">
                  <c:v>1500.6456325220299</c:v>
                </c:pt>
                <c:pt idx="25">
                  <c:v>1500.77360335298</c:v>
                </c:pt>
                <c:pt idx="26">
                  <c:v>1500.7451678103801</c:v>
                </c:pt>
                <c:pt idx="27">
                  <c:v>1500.6443313494501</c:v>
                </c:pt>
                <c:pt idx="28">
                  <c:v>1500.22040626273</c:v>
                </c:pt>
                <c:pt idx="29">
                  <c:v>1500.7571877967</c:v>
                </c:pt>
                <c:pt idx="30">
                  <c:v>1500.6542180521401</c:v>
                </c:pt>
                <c:pt idx="31">
                  <c:v>1500.64985249918</c:v>
                </c:pt>
                <c:pt idx="32">
                  <c:v>1500.89139361862</c:v>
                </c:pt>
                <c:pt idx="33">
                  <c:v>1500.86631727597</c:v>
                </c:pt>
                <c:pt idx="34">
                  <c:v>1500.5131033586999</c:v>
                </c:pt>
                <c:pt idx="35">
                  <c:v>1500.3303219760301</c:v>
                </c:pt>
                <c:pt idx="36">
                  <c:v>1500.3282471919699</c:v>
                </c:pt>
                <c:pt idx="37">
                  <c:v>1500.3307633760301</c:v>
                </c:pt>
                <c:pt idx="38">
                  <c:v>1500.41294854733</c:v>
                </c:pt>
                <c:pt idx="39">
                  <c:v>1500.2089871732001</c:v>
                </c:pt>
                <c:pt idx="40">
                  <c:v>1500.26056024631</c:v>
                </c:pt>
                <c:pt idx="41">
                  <c:v>1500.2545380771101</c:v>
                </c:pt>
                <c:pt idx="42">
                  <c:v>1500.0566446760499</c:v>
                </c:pt>
                <c:pt idx="43">
                  <c:v>1499.8795630858799</c:v>
                </c:pt>
                <c:pt idx="44">
                  <c:v>1499.7764542279101</c:v>
                </c:pt>
                <c:pt idx="45">
                  <c:v>1499.58515485099</c:v>
                </c:pt>
                <c:pt idx="46">
                  <c:v>1499.59216658901</c:v>
                </c:pt>
                <c:pt idx="47">
                  <c:v>1499.62654631547</c:v>
                </c:pt>
                <c:pt idx="48">
                  <c:v>1499.6530201221301</c:v>
                </c:pt>
                <c:pt idx="49">
                  <c:v>1499.10851027953</c:v>
                </c:pt>
                <c:pt idx="50">
                  <c:v>1499.08018693892</c:v>
                </c:pt>
                <c:pt idx="51">
                  <c:v>1499.1277782142799</c:v>
                </c:pt>
                <c:pt idx="52">
                  <c:v>1499.1162737045399</c:v>
                </c:pt>
                <c:pt idx="53">
                  <c:v>1499.1229631276699</c:v>
                </c:pt>
                <c:pt idx="54">
                  <c:v>1499.2207066472499</c:v>
                </c:pt>
                <c:pt idx="55">
                  <c:v>1499.20012126397</c:v>
                </c:pt>
                <c:pt idx="56">
                  <c:v>1499.17002651344</c:v>
                </c:pt>
                <c:pt idx="57">
                  <c:v>1499.2025181249001</c:v>
                </c:pt>
                <c:pt idx="58">
                  <c:v>1499.3475919581999</c:v>
                </c:pt>
                <c:pt idx="59">
                  <c:v>1499.44893543025</c:v>
                </c:pt>
                <c:pt idx="60">
                  <c:v>1499.4834361201399</c:v>
                </c:pt>
                <c:pt idx="61">
                  <c:v>1499.3801497971799</c:v>
                </c:pt>
                <c:pt idx="62">
                  <c:v>1499.39397863816</c:v>
                </c:pt>
                <c:pt idx="63">
                  <c:v>1499.66368497494</c:v>
                </c:pt>
                <c:pt idx="64">
                  <c:v>1499.6989224655299</c:v>
                </c:pt>
                <c:pt idx="65">
                  <c:v>1499.9138013842401</c:v>
                </c:pt>
                <c:pt idx="66">
                  <c:v>1499.9580655929401</c:v>
                </c:pt>
                <c:pt idx="67">
                  <c:v>1500.0969888899001</c:v>
                </c:pt>
                <c:pt idx="68">
                  <c:v>1500.1664324676599</c:v>
                </c:pt>
                <c:pt idx="69">
                  <c:v>1500.24797554564</c:v>
                </c:pt>
                <c:pt idx="70">
                  <c:v>1500.30715381139</c:v>
                </c:pt>
                <c:pt idx="71">
                  <c:v>1500.32628746102</c:v>
                </c:pt>
                <c:pt idx="72">
                  <c:v>1500.23558125881</c:v>
                </c:pt>
                <c:pt idx="73">
                  <c:v>1500.16407835123</c:v>
                </c:pt>
                <c:pt idx="74">
                  <c:v>1500.26234062764</c:v>
                </c:pt>
                <c:pt idx="75">
                  <c:v>1500.8643334572801</c:v>
                </c:pt>
                <c:pt idx="76">
                  <c:v>1500.82782127004</c:v>
                </c:pt>
                <c:pt idx="77">
                  <c:v>1500.95352758174</c:v>
                </c:pt>
                <c:pt idx="78">
                  <c:v>1500.78550677257</c:v>
                </c:pt>
                <c:pt idx="79">
                  <c:v>1500.7431323240301</c:v>
                </c:pt>
                <c:pt idx="80">
                  <c:v>1500.80464087836</c:v>
                </c:pt>
                <c:pt idx="81">
                  <c:v>1501.1189062311</c:v>
                </c:pt>
                <c:pt idx="82">
                  <c:v>1501.17308058913</c:v>
                </c:pt>
                <c:pt idx="83">
                  <c:v>1500.97161148495</c:v>
                </c:pt>
                <c:pt idx="84">
                  <c:v>1501.1776450365801</c:v>
                </c:pt>
                <c:pt idx="85">
                  <c:v>1501.2123747139001</c:v>
                </c:pt>
                <c:pt idx="86">
                  <c:v>1501.5861139020701</c:v>
                </c:pt>
                <c:pt idx="87">
                  <c:v>1501.9354427589501</c:v>
                </c:pt>
                <c:pt idx="88">
                  <c:v>1502.0616673189199</c:v>
                </c:pt>
                <c:pt idx="89">
                  <c:v>1502.1214101420501</c:v>
                </c:pt>
                <c:pt idx="90">
                  <c:v>1502.0305962847499</c:v>
                </c:pt>
                <c:pt idx="91">
                  <c:v>1502.14108709932</c:v>
                </c:pt>
                <c:pt idx="92">
                  <c:v>1502.1501521934899</c:v>
                </c:pt>
                <c:pt idx="93">
                  <c:v>1502.0321460735699</c:v>
                </c:pt>
                <c:pt idx="94">
                  <c:v>1501.9213926427301</c:v>
                </c:pt>
                <c:pt idx="95">
                  <c:v>1501.3440868765999</c:v>
                </c:pt>
                <c:pt idx="96">
                  <c:v>1501.1430562369301</c:v>
                </c:pt>
                <c:pt idx="97">
                  <c:v>1500.9644558254899</c:v>
                </c:pt>
                <c:pt idx="98">
                  <c:v>1500.9333363062201</c:v>
                </c:pt>
                <c:pt idx="99">
                  <c:v>1500.8092384315</c:v>
                </c:pt>
                <c:pt idx="100">
                  <c:v>1500.7673717453299</c:v>
                </c:pt>
                <c:pt idx="101">
                  <c:v>1500.5225998727401</c:v>
                </c:pt>
                <c:pt idx="102">
                  <c:v>1500.4104429131501</c:v>
                </c:pt>
                <c:pt idx="103">
                  <c:v>1500.40351031402</c:v>
                </c:pt>
                <c:pt idx="104">
                  <c:v>1500.28961021193</c:v>
                </c:pt>
                <c:pt idx="105">
                  <c:v>1500.21205734605</c:v>
                </c:pt>
                <c:pt idx="106">
                  <c:v>1499.96881141977</c:v>
                </c:pt>
                <c:pt idx="107">
                  <c:v>1499.2118704662601</c:v>
                </c:pt>
                <c:pt idx="108">
                  <c:v>1498.8534319304899</c:v>
                </c:pt>
                <c:pt idx="109">
                  <c:v>1498.89713828144</c:v>
                </c:pt>
                <c:pt idx="110">
                  <c:v>1498.7609038723699</c:v>
                </c:pt>
                <c:pt idx="111">
                  <c:v>1498.4669082241601</c:v>
                </c:pt>
                <c:pt idx="112">
                  <c:v>1498.36611330137</c:v>
                </c:pt>
                <c:pt idx="113">
                  <c:v>1498.6252821543701</c:v>
                </c:pt>
                <c:pt idx="114">
                  <c:v>1498.67332266158</c:v>
                </c:pt>
                <c:pt idx="115">
                  <c:v>1498.6670737320301</c:v>
                </c:pt>
                <c:pt idx="116">
                  <c:v>1498.97163552489</c:v>
                </c:pt>
                <c:pt idx="117">
                  <c:v>1498.9235786152999</c:v>
                </c:pt>
                <c:pt idx="118">
                  <c:v>1499.08894697294</c:v>
                </c:pt>
                <c:pt idx="119">
                  <c:v>1499.3533396064699</c:v>
                </c:pt>
                <c:pt idx="120">
                  <c:v>1499.1167966604401</c:v>
                </c:pt>
                <c:pt idx="121">
                  <c:v>1499.15381188526</c:v>
                </c:pt>
                <c:pt idx="122">
                  <c:v>1499.00962485118</c:v>
                </c:pt>
                <c:pt idx="123">
                  <c:v>1499.15452949471</c:v>
                </c:pt>
                <c:pt idx="124">
                  <c:v>1499.0786343411301</c:v>
                </c:pt>
                <c:pt idx="125">
                  <c:v>1498.7457414098001</c:v>
                </c:pt>
                <c:pt idx="126">
                  <c:v>1498.6069464166601</c:v>
                </c:pt>
                <c:pt idx="127">
                  <c:v>1499.6115164698799</c:v>
                </c:pt>
                <c:pt idx="128">
                  <c:v>1499.5788482905</c:v>
                </c:pt>
                <c:pt idx="129">
                  <c:v>1499.3433162434301</c:v>
                </c:pt>
                <c:pt idx="130">
                  <c:v>1499.51710127418</c:v>
                </c:pt>
                <c:pt idx="131">
                  <c:v>1499.73566360734</c:v>
                </c:pt>
                <c:pt idx="132">
                  <c:v>1499.9272418252399</c:v>
                </c:pt>
                <c:pt idx="133">
                  <c:v>1499.81153528359</c:v>
                </c:pt>
                <c:pt idx="134">
                  <c:v>1499.73568494353</c:v>
                </c:pt>
                <c:pt idx="135">
                  <c:v>1499.72625716005</c:v>
                </c:pt>
                <c:pt idx="136">
                  <c:v>1499.4896921182401</c:v>
                </c:pt>
                <c:pt idx="137">
                  <c:v>1499.49685620082</c:v>
                </c:pt>
                <c:pt idx="138">
                  <c:v>1499.4640480215601</c:v>
                </c:pt>
                <c:pt idx="139">
                  <c:v>1499.55450586391</c:v>
                </c:pt>
                <c:pt idx="140">
                  <c:v>1499.84731142032</c:v>
                </c:pt>
                <c:pt idx="141">
                  <c:v>1499.8435223592801</c:v>
                </c:pt>
                <c:pt idx="142">
                  <c:v>1499.96061798556</c:v>
                </c:pt>
                <c:pt idx="143">
                  <c:v>1499.8676530294399</c:v>
                </c:pt>
                <c:pt idx="144">
                  <c:v>1499.8071168475501</c:v>
                </c:pt>
                <c:pt idx="145">
                  <c:v>1499.94812761504</c:v>
                </c:pt>
                <c:pt idx="146">
                  <c:v>1499.8002215015899</c:v>
                </c:pt>
                <c:pt idx="147">
                  <c:v>1499.1315387536399</c:v>
                </c:pt>
                <c:pt idx="148">
                  <c:v>1499.2607949344399</c:v>
                </c:pt>
                <c:pt idx="149">
                  <c:v>1499.0928541558901</c:v>
                </c:pt>
                <c:pt idx="150">
                  <c:v>1499.1058920103501</c:v>
                </c:pt>
                <c:pt idx="151">
                  <c:v>1499.1103657838801</c:v>
                </c:pt>
                <c:pt idx="152">
                  <c:v>1498.9452640106099</c:v>
                </c:pt>
                <c:pt idx="153">
                  <c:v>1499.2232162246501</c:v>
                </c:pt>
                <c:pt idx="154">
                  <c:v>1499.21327187064</c:v>
                </c:pt>
                <c:pt idx="155">
                  <c:v>1499.2874936998801</c:v>
                </c:pt>
                <c:pt idx="156">
                  <c:v>1499.3008940065399</c:v>
                </c:pt>
                <c:pt idx="157">
                  <c:v>1499.5113445760801</c:v>
                </c:pt>
                <c:pt idx="158">
                  <c:v>1499.4054982089899</c:v>
                </c:pt>
                <c:pt idx="159">
                  <c:v>1499.1191357790899</c:v>
                </c:pt>
                <c:pt idx="160">
                  <c:v>1499.0279233276999</c:v>
                </c:pt>
                <c:pt idx="161">
                  <c:v>1498.9705626579</c:v>
                </c:pt>
                <c:pt idx="162">
                  <c:v>1498.9835379527401</c:v>
                </c:pt>
                <c:pt idx="163">
                  <c:v>1498.9764548120299</c:v>
                </c:pt>
                <c:pt idx="164">
                  <c:v>1499.0938729015299</c:v>
                </c:pt>
                <c:pt idx="165">
                  <c:v>1499.2961505415699</c:v>
                </c:pt>
                <c:pt idx="166">
                  <c:v>1499.30430788429</c:v>
                </c:pt>
                <c:pt idx="167">
                  <c:v>1499.4234405935099</c:v>
                </c:pt>
                <c:pt idx="168">
                  <c:v>1499.5920250464901</c:v>
                </c:pt>
                <c:pt idx="169">
                  <c:v>1499.87264071043</c:v>
                </c:pt>
                <c:pt idx="170">
                  <c:v>1499.80807184682</c:v>
                </c:pt>
                <c:pt idx="171">
                  <c:v>1499.6737811217699</c:v>
                </c:pt>
                <c:pt idx="172">
                  <c:v>1499.8452917378499</c:v>
                </c:pt>
                <c:pt idx="173">
                  <c:v>1499.7305816799901</c:v>
                </c:pt>
                <c:pt idx="174">
                  <c:v>1499.7141034834799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32-4937-9C9D-2E855B17A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BRK B* x avg / BRK A*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-6.6261687636965402E-4</c:v>
                </c:pt>
                <c:pt idx="2">
                  <c:v>7.3413405638069504E-4</c:v>
                </c:pt>
                <c:pt idx="3">
                  <c:v>-1.13556453416822E-3</c:v>
                </c:pt>
                <c:pt idx="4">
                  <c:v>-8.9431306368542302E-4</c:v>
                </c:pt>
                <c:pt idx="5">
                  <c:v>7.5410871256861303E-4</c:v>
                </c:pt>
                <c:pt idx="6">
                  <c:v>1.5958055283641701E-4</c:v>
                </c:pt>
                <c:pt idx="7">
                  <c:v>7.1984032725208298E-4</c:v>
                </c:pt>
                <c:pt idx="8">
                  <c:v>-5.04074776854608E-3</c:v>
                </c:pt>
                <c:pt idx="9">
                  <c:v>2.89368208512983E-4</c:v>
                </c:pt>
                <c:pt idx="10">
                  <c:v>-1.13512916116752E-3</c:v>
                </c:pt>
                <c:pt idx="11">
                  <c:v>7.6943089295828304E-4</c:v>
                </c:pt>
                <c:pt idx="12">
                  <c:v>2.2632332591281902E-3</c:v>
                </c:pt>
                <c:pt idx="13">
                  <c:v>7.0215320096240303E-4</c:v>
                </c:pt>
                <c:pt idx="14">
                  <c:v>-3.4762970636845799E-3</c:v>
                </c:pt>
                <c:pt idx="15">
                  <c:v>-1.7082736509259099E-3</c:v>
                </c:pt>
                <c:pt idx="16">
                  <c:v>-1.4307737649693301E-3</c:v>
                </c:pt>
                <c:pt idx="17">
                  <c:v>1.00111737710037E-3</c:v>
                </c:pt>
                <c:pt idx="18">
                  <c:v>1.62400093551608E-3</c:v>
                </c:pt>
                <c:pt idx="19">
                  <c:v>-2.39693766337926E-3</c:v>
                </c:pt>
                <c:pt idx="20">
                  <c:v>2.0336967640956498E-3</c:v>
                </c:pt>
                <c:pt idx="21">
                  <c:v>5.8717751374924999E-4</c:v>
                </c:pt>
                <c:pt idx="22">
                  <c:v>-2.8685258947662002E-3</c:v>
                </c:pt>
                <c:pt idx="23">
                  <c:v>-1.4991421960649099E-3</c:v>
                </c:pt>
                <c:pt idx="24">
                  <c:v>-6.0440420596869805E-4</c:v>
                </c:pt>
                <c:pt idx="25">
                  <c:v>-9.52058454969061E-4</c:v>
                </c:pt>
                <c:pt idx="26">
                  <c:v>5.3886655094830601E-4</c:v>
                </c:pt>
                <c:pt idx="27">
                  <c:v>2.0662467678844898E-3</c:v>
                </c:pt>
                <c:pt idx="28">
                  <c:v>5.9923408926590004E-4</c:v>
                </c:pt>
                <c:pt idx="29">
                  <c:v>-6.8445288540026896E-3</c:v>
                </c:pt>
                <c:pt idx="30">
                  <c:v>2.3723147523188601E-4</c:v>
                </c:pt>
                <c:pt idx="31">
                  <c:v>8.2768676374612798E-4</c:v>
                </c:pt>
                <c:pt idx="32">
                  <c:v>-9.5952411642420503E-4</c:v>
                </c:pt>
                <c:pt idx="33">
                  <c:v>1.0368067470973401E-3</c:v>
                </c:pt>
                <c:pt idx="34">
                  <c:v>1.2280877750506099E-3</c:v>
                </c:pt>
                <c:pt idx="35">
                  <c:v>7.2769979226973999E-4</c:v>
                </c:pt>
                <c:pt idx="36">
                  <c:v>-1.4031482010657501E-3</c:v>
                </c:pt>
                <c:pt idx="37">
                  <c:v>9.6753406539135795E-4</c:v>
                </c:pt>
                <c:pt idx="38">
                  <c:v>5.2698193337967795E-4</c:v>
                </c:pt>
                <c:pt idx="39">
                  <c:v>3.1981675455518797E-4</c:v>
                </c:pt>
                <c:pt idx="40">
                  <c:v>1.3448695833321301E-3</c:v>
                </c:pt>
                <c:pt idx="41">
                  <c:v>6.6752624734490898E-4</c:v>
                </c:pt>
                <c:pt idx="42">
                  <c:v>-2.33947532248529E-4</c:v>
                </c:pt>
                <c:pt idx="43">
                  <c:v>8.6127314321627604E-4</c:v>
                </c:pt>
                <c:pt idx="44">
                  <c:v>7.7054180738521405E-4</c:v>
                </c:pt>
                <c:pt idx="45">
                  <c:v>1.59951254726235E-3</c:v>
                </c:pt>
                <c:pt idx="46">
                  <c:v>4.4532748630970998E-4</c:v>
                </c:pt>
                <c:pt idx="47">
                  <c:v>1.60699199960473E-3</c:v>
                </c:pt>
                <c:pt idx="48">
                  <c:v>2.4608866977457997E-4</c:v>
                </c:pt>
                <c:pt idx="49">
                  <c:v>3.9245099269067502E-4</c:v>
                </c:pt>
                <c:pt idx="50">
                  <c:v>6.1504993248083896E-4</c:v>
                </c:pt>
                <c:pt idx="51">
                  <c:v>1.92790813017837E-4</c:v>
                </c:pt>
                <c:pt idx="52">
                  <c:v>-8.0626076861352303E-4</c:v>
                </c:pt>
                <c:pt idx="53">
                  <c:v>9.4752284009972396E-4</c:v>
                </c:pt>
                <c:pt idx="54">
                  <c:v>-7.5954744648104298E-5</c:v>
                </c:pt>
                <c:pt idx="55">
                  <c:v>1.0024185246452399E-3</c:v>
                </c:pt>
                <c:pt idx="56">
                  <c:v>-1.0023534510723801E-3</c:v>
                </c:pt>
                <c:pt idx="57">
                  <c:v>5.3397235267658798E-4</c:v>
                </c:pt>
                <c:pt idx="58">
                  <c:v>-1.4065513407479E-3</c:v>
                </c:pt>
                <c:pt idx="59">
                  <c:v>-1.0309953482023999E-3</c:v>
                </c:pt>
                <c:pt idx="60">
                  <c:v>8.8433158616797302E-4</c:v>
                </c:pt>
                <c:pt idx="61">
                  <c:v>2.0465945402303302E-3</c:v>
                </c:pt>
                <c:pt idx="62">
                  <c:v>-4.1827827810064398E-4</c:v>
                </c:pt>
                <c:pt idx="63">
                  <c:v>-2.73157129819562E-3</c:v>
                </c:pt>
                <c:pt idx="64">
                  <c:v>3.0044082669620202E-4</c:v>
                </c:pt>
                <c:pt idx="65">
                  <c:v>-1.26611461543479E-3</c:v>
                </c:pt>
                <c:pt idx="66">
                  <c:v>-1.4497083417480401E-4</c:v>
                </c:pt>
                <c:pt idx="67">
                  <c:v>-2.4664223963869001E-4</c:v>
                </c:pt>
                <c:pt idx="68">
                  <c:v>-6.7965670632540295E-4</c:v>
                </c:pt>
                <c:pt idx="69">
                  <c:v>-6.9466299076262697E-4</c:v>
                </c:pt>
                <c:pt idx="70">
                  <c:v>-1.7419459706436401E-4</c:v>
                </c:pt>
                <c:pt idx="71">
                  <c:v>-6.2349901957743095E-5</c:v>
                </c:pt>
                <c:pt idx="72">
                  <c:v>4.0295278801214402E-4</c:v>
                </c:pt>
                <c:pt idx="73">
                  <c:v>1.9022870734761101E-3</c:v>
                </c:pt>
                <c:pt idx="74">
                  <c:v>-1.3852063957637899E-3</c:v>
                </c:pt>
                <c:pt idx="75">
                  <c:v>-7.0003701373825703E-3</c:v>
                </c:pt>
                <c:pt idx="76">
                  <c:v>-5.1587703216871797E-4</c:v>
                </c:pt>
                <c:pt idx="77">
                  <c:v>-1.1416598687428801E-3</c:v>
                </c:pt>
                <c:pt idx="78">
                  <c:v>8.3316025332366098E-4</c:v>
                </c:pt>
                <c:pt idx="79">
                  <c:v>-4.6640620267948701E-4</c:v>
                </c:pt>
                <c:pt idx="80">
                  <c:v>6.3800537702836797E-5</c:v>
                </c:pt>
                <c:pt idx="81">
                  <c:v>-2.1435476417689401E-3</c:v>
                </c:pt>
                <c:pt idx="82">
                  <c:v>-1.1400651880016199E-3</c:v>
                </c:pt>
                <c:pt idx="83">
                  <c:v>-4.8957411636932798E-5</c:v>
                </c:pt>
                <c:pt idx="84">
                  <c:v>-2.4438239436297801E-3</c:v>
                </c:pt>
                <c:pt idx="85">
                  <c:v>-1.72850000133262E-3</c:v>
                </c:pt>
                <c:pt idx="86">
                  <c:v>-5.1152362246471702E-3</c:v>
                </c:pt>
                <c:pt idx="87">
                  <c:v>-4.8925623269205796E-3</c:v>
                </c:pt>
                <c:pt idx="88">
                  <c:v>-2.3601522127264601E-3</c:v>
                </c:pt>
                <c:pt idx="89">
                  <c:v>-1.4903914275040901E-3</c:v>
                </c:pt>
                <c:pt idx="90">
                  <c:v>1.0372209059912999E-3</c:v>
                </c:pt>
                <c:pt idx="91">
                  <c:v>-1.5344353715266699E-3</c:v>
                </c:pt>
                <c:pt idx="92">
                  <c:v>2.8203931630029302E-4</c:v>
                </c:pt>
                <c:pt idx="93">
                  <c:v>3.4799959211719899E-3</c:v>
                </c:pt>
                <c:pt idx="94">
                  <c:v>9.0600911318717599E-5</c:v>
                </c:pt>
                <c:pt idx="95">
                  <c:v>6.7297053180910397E-4</c:v>
                </c:pt>
                <c:pt idx="96">
                  <c:v>2.1668362095675002E-3</c:v>
                </c:pt>
                <c:pt idx="97">
                  <c:v>1.23987698949801E-3</c:v>
                </c:pt>
                <c:pt idx="98">
                  <c:v>1.24853351597634E-3</c:v>
                </c:pt>
                <c:pt idx="99">
                  <c:v>1.1888865220535301E-3</c:v>
                </c:pt>
                <c:pt idx="100">
                  <c:v>6.2223367218500398E-4</c:v>
                </c:pt>
                <c:pt idx="101">
                  <c:v>1.1185154932962199E-3</c:v>
                </c:pt>
                <c:pt idx="102">
                  <c:v>3.5482503636479E-4</c:v>
                </c:pt>
                <c:pt idx="103">
                  <c:v>4.3480159656066298E-5</c:v>
                </c:pt>
                <c:pt idx="104">
                  <c:v>-9.2766200433184196E-4</c:v>
                </c:pt>
                <c:pt idx="105">
                  <c:v>-6.95679011171481E-4</c:v>
                </c:pt>
                <c:pt idx="106">
                  <c:v>-1.88317686805324E-3</c:v>
                </c:pt>
                <c:pt idx="107">
                  <c:v>5.2018478262841001E-3</c:v>
                </c:pt>
                <c:pt idx="108">
                  <c:v>2.4193289978096401E-3</c:v>
                </c:pt>
                <c:pt idx="109">
                  <c:v>-2.07212560410883E-3</c:v>
                </c:pt>
                <c:pt idx="110">
                  <c:v>2.8572823945451401E-3</c:v>
                </c:pt>
                <c:pt idx="111">
                  <c:v>2.3873105218511601E-3</c:v>
                </c:pt>
                <c:pt idx="112">
                  <c:v>1.62730126819657E-3</c:v>
                </c:pt>
                <c:pt idx="113">
                  <c:v>1.8244728518539399E-5</c:v>
                </c:pt>
                <c:pt idx="114">
                  <c:v>-5.4981407619873203E-4</c:v>
                </c:pt>
                <c:pt idx="115">
                  <c:v>7.5635201759040001E-4</c:v>
                </c:pt>
                <c:pt idx="116">
                  <c:v>-1.89467679266951E-3</c:v>
                </c:pt>
                <c:pt idx="117">
                  <c:v>1.8816586340568799E-3</c:v>
                </c:pt>
                <c:pt idx="118">
                  <c:v>-9.5677475945458296E-4</c:v>
                </c:pt>
                <c:pt idx="119">
                  <c:v>-2.3344489622675502E-3</c:v>
                </c:pt>
                <c:pt idx="120">
                  <c:v>3.7832015032565201E-3</c:v>
                </c:pt>
                <c:pt idx="121">
                  <c:v>6.2453191430354704E-4</c:v>
                </c:pt>
                <c:pt idx="122">
                  <c:v>2.2799188401411699E-3</c:v>
                </c:pt>
                <c:pt idx="123">
                  <c:v>-1.88686769056811E-3</c:v>
                </c:pt>
                <c:pt idx="124">
                  <c:v>8.3881180191431998E-5</c:v>
                </c:pt>
                <c:pt idx="125">
                  <c:v>3.7498253702773899E-3</c:v>
                </c:pt>
                <c:pt idx="126">
                  <c:v>-3.4287209901805402E-5</c:v>
                </c:pt>
                <c:pt idx="127">
                  <c:v>-8.1728957063751193E-3</c:v>
                </c:pt>
                <c:pt idx="128">
                  <c:v>2.8560701282750599E-3</c:v>
                </c:pt>
                <c:pt idx="129">
                  <c:v>1.0668298933446099E-3</c:v>
                </c:pt>
                <c:pt idx="130">
                  <c:v>5.3613475003293296E-4</c:v>
                </c:pt>
                <c:pt idx="131">
                  <c:v>-5.2966090483191604E-4</c:v>
                </c:pt>
                <c:pt idx="132">
                  <c:v>-9.2805511490630399E-4</c:v>
                </c:pt>
                <c:pt idx="133">
                  <c:v>1.5622710585789399E-3</c:v>
                </c:pt>
                <c:pt idx="134">
                  <c:v>4.6151377351868399E-4</c:v>
                </c:pt>
                <c:pt idx="135">
                  <c:v>8.8216313681277697E-4</c:v>
                </c:pt>
                <c:pt idx="136">
                  <c:v>1.2586276208072799E-3</c:v>
                </c:pt>
                <c:pt idx="137">
                  <c:v>1.78595892358149E-3</c:v>
                </c:pt>
                <c:pt idx="138">
                  <c:v>-5.1964018906343399E-4</c:v>
                </c:pt>
                <c:pt idx="139">
                  <c:v>-3.5370590539432001E-3</c:v>
                </c:pt>
                <c:pt idx="140">
                  <c:v>-1.2814552414127501E-4</c:v>
                </c:pt>
                <c:pt idx="141">
                  <c:v>6.75087301237303E-4</c:v>
                </c:pt>
                <c:pt idx="142">
                  <c:v>7.1624969496250602E-4</c:v>
                </c:pt>
                <c:pt idx="143">
                  <c:v>-6.4886313917771196E-4</c:v>
                </c:pt>
                <c:pt idx="144">
                  <c:v>8.9145165444537498E-4</c:v>
                </c:pt>
                <c:pt idx="145">
                  <c:v>1.86433231021388E-3</c:v>
                </c:pt>
                <c:pt idx="146">
                  <c:v>1.9397414158785901E-3</c:v>
                </c:pt>
                <c:pt idx="147">
                  <c:v>7.09942633359662E-4</c:v>
                </c:pt>
                <c:pt idx="148">
                  <c:v>1.1291578627338099E-3</c:v>
                </c:pt>
                <c:pt idx="149">
                  <c:v>3.3110235847879201E-3</c:v>
                </c:pt>
                <c:pt idx="150">
                  <c:v>3.6221262662509198E-4</c:v>
                </c:pt>
                <c:pt idx="151">
                  <c:v>-5.8927989953475696E-4</c:v>
                </c:pt>
                <c:pt idx="152">
                  <c:v>1.2737574501134801E-3</c:v>
                </c:pt>
                <c:pt idx="153">
                  <c:v>-2.1428077904786002E-3</c:v>
                </c:pt>
                <c:pt idx="154">
                  <c:v>5.9417971538573895E-4</c:v>
                </c:pt>
                <c:pt idx="155">
                  <c:v>-1.07878357588969E-4</c:v>
                </c:pt>
                <c:pt idx="156">
                  <c:v>1.0797417109148599E-3</c:v>
                </c:pt>
                <c:pt idx="157">
                  <c:v>-1.02121713796958E-3</c:v>
                </c:pt>
                <c:pt idx="158">
                  <c:v>8.9195573330974804E-4</c:v>
                </c:pt>
                <c:pt idx="159">
                  <c:v>2.7501263186245601E-4</c:v>
                </c:pt>
                <c:pt idx="160">
                  <c:v>1.08864634354001E-3</c:v>
                </c:pt>
                <c:pt idx="161">
                  <c:v>1.4407319913484901E-3</c:v>
                </c:pt>
                <c:pt idx="162">
                  <c:v>5.43130855164502E-4</c:v>
                </c:pt>
                <c:pt idx="163">
                  <c:v>-5.5447483240858098E-4</c:v>
                </c:pt>
                <c:pt idx="164">
                  <c:v>-6.7434635474020405E-4</c:v>
                </c:pt>
                <c:pt idx="165">
                  <c:v>-8.3418412535193399E-4</c:v>
                </c:pt>
                <c:pt idx="166">
                  <c:v>1.83076786762446E-3</c:v>
                </c:pt>
                <c:pt idx="167">
                  <c:v>-8.7841398454988604E-4</c:v>
                </c:pt>
                <c:pt idx="168">
                  <c:v>-1.1187231702224599E-3</c:v>
                </c:pt>
                <c:pt idx="169">
                  <c:v>-4.3602721049746198E-4</c:v>
                </c:pt>
                <c:pt idx="170">
                  <c:v>1.22384332684761E-3</c:v>
                </c:pt>
                <c:pt idx="171">
                  <c:v>1.2018727952234399E-3</c:v>
                </c:pt>
                <c:pt idx="172">
                  <c:v>-1.01342636859159E-3</c:v>
                </c:pt>
                <c:pt idx="173">
                  <c:v>-6.1539596867645895E-4</c:v>
                </c:pt>
                <c:pt idx="174">
                  <c:v>8.1405129563985005E-4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A-4589-932E-BC45F723B294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BRK B* x 10 dma / BRK 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-7.7763913149118296E-4</c:v>
                </c:pt>
                <c:pt idx="11">
                  <c:v>1.3919212939016801E-3</c:v>
                </c:pt>
                <c:pt idx="12">
                  <c:v>2.74260538901391E-3</c:v>
                </c:pt>
                <c:pt idx="13">
                  <c:v>1.0289059153595799E-3</c:v>
                </c:pt>
                <c:pt idx="14">
                  <c:v>-3.33331281061849E-3</c:v>
                </c:pt>
                <c:pt idx="15">
                  <c:v>-1.30659652706331E-3</c:v>
                </c:pt>
                <c:pt idx="16">
                  <c:v>-7.8287009040914997E-4</c:v>
                </c:pt>
                <c:pt idx="17">
                  <c:v>1.80804189846795E-3</c:v>
                </c:pt>
                <c:pt idx="18">
                  <c:v>2.4028442186828799E-3</c:v>
                </c:pt>
                <c:pt idx="19">
                  <c:v>-2.2854128892361102E-3</c:v>
                </c:pt>
                <c:pt idx="20">
                  <c:v>2.4140693026102498E-3</c:v>
                </c:pt>
                <c:pt idx="21">
                  <c:v>6.50879987214888E-4</c:v>
                </c:pt>
                <c:pt idx="22">
                  <c:v>-2.7866117674938298E-3</c:v>
                </c:pt>
                <c:pt idx="23">
                  <c:v>-9.0406999136051199E-4</c:v>
                </c:pt>
                <c:pt idx="24">
                  <c:v>2.10730099126955E-4</c:v>
                </c:pt>
                <c:pt idx="25">
                  <c:v>-4.24506967083542E-4</c:v>
                </c:pt>
                <c:pt idx="26">
                  <c:v>9.9073293409273006E-4</c:v>
                </c:pt>
                <c:pt idx="27">
                  <c:v>2.32113085246086E-3</c:v>
                </c:pt>
                <c:pt idx="28">
                  <c:v>7.4778991226248604E-4</c:v>
                </c:pt>
                <c:pt idx="29">
                  <c:v>-6.5936306361157396E-3</c:v>
                </c:pt>
                <c:pt idx="30">
                  <c:v>9.3473721299028604E-4</c:v>
                </c:pt>
                <c:pt idx="31">
                  <c:v>1.7044939939598999E-3</c:v>
                </c:pt>
                <c:pt idx="32">
                  <c:v>-1.0673002732471101E-4</c:v>
                </c:pt>
                <c:pt idx="33">
                  <c:v>1.6984796701526199E-3</c:v>
                </c:pt>
                <c:pt idx="34">
                  <c:v>1.63624275333057E-3</c:v>
                </c:pt>
                <c:pt idx="35">
                  <c:v>9.5272067014372404E-4</c:v>
                </c:pt>
                <c:pt idx="36">
                  <c:v>-1.34609832041735E-3</c:v>
                </c:pt>
                <c:pt idx="37">
                  <c:v>1.2188394398277499E-3</c:v>
                </c:pt>
                <c:pt idx="38">
                  <c:v>8.8795846721884098E-4</c:v>
                </c:pt>
                <c:pt idx="39">
                  <c:v>6.8801180430484396E-4</c:v>
                </c:pt>
                <c:pt idx="40">
                  <c:v>9.9429380134850192E-4</c:v>
                </c:pt>
                <c:pt idx="41">
                  <c:v>2.0622929744741701E-4</c:v>
                </c:pt>
                <c:pt idx="42">
                  <c:v>-6.7923314356314402E-4</c:v>
                </c:pt>
                <c:pt idx="43">
                  <c:v>3.43351587923212E-4</c:v>
                </c:pt>
                <c:pt idx="44">
                  <c:v>2.7016589263196297E-4</c:v>
                </c:pt>
                <c:pt idx="45">
                  <c:v>1.14486736095593E-3</c:v>
                </c:pt>
                <c:pt idx="46">
                  <c:v>-9.6440987160233797E-5</c:v>
                </c:pt>
                <c:pt idx="47">
                  <c:v>8.8017004339549499E-4</c:v>
                </c:pt>
                <c:pt idx="48">
                  <c:v>-5.4464529546521801E-4</c:v>
                </c:pt>
                <c:pt idx="49">
                  <c:v>-3.7018268495002399E-4</c:v>
                </c:pt>
                <c:pt idx="50">
                  <c:v>-1.5485014855579901E-4</c:v>
                </c:pt>
                <c:pt idx="51">
                  <c:v>-5.0414529220753801E-4</c:v>
                </c:pt>
                <c:pt idx="52">
                  <c:v>-1.4557117908285701E-3</c:v>
                </c:pt>
                <c:pt idx="53">
                  <c:v>3.5536847516629298E-4</c:v>
                </c:pt>
                <c:pt idx="54">
                  <c:v>-6.7673142377333096E-4</c:v>
                </c:pt>
                <c:pt idx="55">
                  <c:v>4.8630937883552901E-4</c:v>
                </c:pt>
                <c:pt idx="56">
                  <c:v>-1.45880181839396E-3</c:v>
                </c:pt>
                <c:pt idx="57">
                  <c:v>2.2238803650341101E-4</c:v>
                </c:pt>
                <c:pt idx="58">
                  <c:v>-1.61092083513915E-3</c:v>
                </c:pt>
                <c:pt idx="59">
                  <c:v>-1.0699847816015701E-3</c:v>
                </c:pt>
                <c:pt idx="60">
                  <c:v>9.8772766733550791E-4</c:v>
                </c:pt>
                <c:pt idx="61">
                  <c:v>2.1230850562643502E-3</c:v>
                </c:pt>
                <c:pt idx="62">
                  <c:v>-5.2696368899240195E-4</c:v>
                </c:pt>
                <c:pt idx="63">
                  <c:v>-2.8790836940144199E-3</c:v>
                </c:pt>
                <c:pt idx="64">
                  <c:v>5.2115290363398197E-4</c:v>
                </c:pt>
                <c:pt idx="65">
                  <c:v>-1.08303027357093E-3</c:v>
                </c:pt>
                <c:pt idx="66">
                  <c:v>2.64929522814761E-4</c:v>
                </c:pt>
                <c:pt idx="67">
                  <c:v>7.7502134294915497E-5</c:v>
                </c:pt>
                <c:pt idx="68">
                  <c:v>-2.7749042431389302E-4</c:v>
                </c:pt>
                <c:pt idx="69">
                  <c:v>-3.6523542354507802E-4</c:v>
                </c:pt>
                <c:pt idx="70">
                  <c:v>1.2158122322958101E-4</c:v>
                </c:pt>
                <c:pt idx="71">
                  <c:v>3.3920407573149401E-4</c:v>
                </c:pt>
                <c:pt idx="72">
                  <c:v>1.0150853618502301E-3</c:v>
                </c:pt>
                <c:pt idx="73">
                  <c:v>2.4323427961239E-3</c:v>
                </c:pt>
                <c:pt idx="74">
                  <c:v>-1.3185908186744699E-3</c:v>
                </c:pt>
                <c:pt idx="75">
                  <c:v>-6.7651238203956096E-3</c:v>
                </c:pt>
                <c:pt idx="76">
                  <c:v>2.94869566285574E-4</c:v>
                </c:pt>
                <c:pt idx="77">
                  <c:v>-2.93841148643831E-4</c:v>
                </c:pt>
                <c:pt idx="78">
                  <c:v>1.7704629830364799E-3</c:v>
                </c:pt>
                <c:pt idx="79">
                  <c:v>3.1975672574167003E-4</c:v>
                </c:pt>
                <c:pt idx="80">
                  <c:v>8.2714221998756701E-4</c:v>
                </c:pt>
                <c:pt idx="81">
                  <c:v>-1.4039889082972201E-3</c:v>
                </c:pt>
                <c:pt idx="82">
                  <c:v>-1.9233267024509399E-4</c:v>
                </c:pt>
                <c:pt idx="83">
                  <c:v>1.05297568742688E-3</c:v>
                </c:pt>
                <c:pt idx="84">
                  <c:v>-1.1471807502383799E-3</c:v>
                </c:pt>
                <c:pt idx="85">
                  <c:v>-3.2593522887392899E-4</c:v>
                </c:pt>
                <c:pt idx="86">
                  <c:v>-4.2415626906793097E-3</c:v>
                </c:pt>
                <c:pt idx="87">
                  <c:v>-3.5581646076719401E-3</c:v>
                </c:pt>
                <c:pt idx="88">
                  <c:v>-6.5010289259121801E-4</c:v>
                </c:pt>
                <c:pt idx="89">
                  <c:v>5.3863627472432597E-4</c:v>
                </c:pt>
                <c:pt idx="90">
                  <c:v>3.1685343774525902E-3</c:v>
                </c:pt>
                <c:pt idx="91">
                  <c:v>4.9979205106651396E-4</c:v>
                </c:pt>
                <c:pt idx="92">
                  <c:v>2.2553655473863598E-3</c:v>
                </c:pt>
                <c:pt idx="93">
                  <c:v>5.3113210561816001E-3</c:v>
                </c:pt>
                <c:pt idx="94">
                  <c:v>1.5702181363278899E-3</c:v>
                </c:pt>
                <c:pt idx="95">
                  <c:v>1.8991898838704301E-3</c:v>
                </c:pt>
                <c:pt idx="96">
                  <c:v>3.1530473242315799E-3</c:v>
                </c:pt>
                <c:pt idx="97">
                  <c:v>1.4972582752500901E-3</c:v>
                </c:pt>
                <c:pt idx="98">
                  <c:v>8.9151829353317997E-4</c:v>
                </c:pt>
                <c:pt idx="99">
                  <c:v>4.7060772282961501E-4</c:v>
                </c:pt>
                <c:pt idx="100">
                  <c:v>-3.64241902571114E-4</c:v>
                </c:pt>
                <c:pt idx="101">
                  <c:v>1.7354428626384201E-4</c:v>
                </c:pt>
                <c:pt idx="102">
                  <c:v>-8.55782656644253E-4</c:v>
                </c:pt>
                <c:pt idx="103">
                  <c:v>-1.17441262855852E-3</c:v>
                </c:pt>
                <c:pt idx="104">
                  <c:v>-1.8021488604208699E-3</c:v>
                </c:pt>
                <c:pt idx="105">
                  <c:v>-1.46821302033358E-3</c:v>
                </c:pt>
                <c:pt idx="106">
                  <c:v>-2.5187479631838001E-3</c:v>
                </c:pt>
                <c:pt idx="107">
                  <c:v>4.9713962591447902E-3</c:v>
                </c:pt>
                <c:pt idx="108">
                  <c:v>1.7937850722355799E-3</c:v>
                </c:pt>
                <c:pt idx="109">
                  <c:v>-2.81461453034762E-3</c:v>
                </c:pt>
                <c:pt idx="110">
                  <c:v>2.4412279079793998E-3</c:v>
                </c:pt>
                <c:pt idx="111">
                  <c:v>1.74802186016251E-3</c:v>
                </c:pt>
                <c:pt idx="112">
                  <c:v>8.6126628063225405E-4</c:v>
                </c:pt>
                <c:pt idx="113">
                  <c:v>-8.75017352758061E-4</c:v>
                </c:pt>
                <c:pt idx="114">
                  <c:v>-1.44055044030946E-3</c:v>
                </c:pt>
                <c:pt idx="115">
                  <c:v>-1.7223147529551899E-4</c:v>
                </c:pt>
                <c:pt idx="116">
                  <c:v>-2.9686044499963298E-3</c:v>
                </c:pt>
                <c:pt idx="117">
                  <c:v>8.0888438083943903E-4</c:v>
                </c:pt>
                <c:pt idx="118">
                  <c:v>-1.69840351264031E-3</c:v>
                </c:pt>
                <c:pt idx="119">
                  <c:v>-2.7385206633427799E-3</c:v>
                </c:pt>
                <c:pt idx="120">
                  <c:v>3.4054302785736399E-3</c:v>
                </c:pt>
                <c:pt idx="121">
                  <c:v>1.5443656225431899E-4</c:v>
                </c:pt>
                <c:pt idx="122">
                  <c:v>1.9859033700410701E-3</c:v>
                </c:pt>
                <c:pt idx="123">
                  <c:v>-2.2460388233683402E-3</c:v>
                </c:pt>
                <c:pt idx="124">
                  <c:v>-8.4550291398364499E-5</c:v>
                </c:pt>
                <c:pt idx="125">
                  <c:v>3.5179969209404201E-3</c:v>
                </c:pt>
                <c:pt idx="126">
                  <c:v>-5.6490329083884005E-4</c:v>
                </c:pt>
                <c:pt idx="127">
                  <c:v>-8.8898464862114009E-3</c:v>
                </c:pt>
                <c:pt idx="128">
                  <c:v>3.1479611334578501E-3</c:v>
                </c:pt>
                <c:pt idx="129">
                  <c:v>9.7783673762457507E-4</c:v>
                </c:pt>
                <c:pt idx="130">
                  <c:v>1.06709670088128E-4</c:v>
                </c:pt>
                <c:pt idx="131">
                  <c:v>-6.3499302655428398E-4</c:v>
                </c:pt>
                <c:pt idx="132">
                  <c:v>-9.1796792679356995E-4</c:v>
                </c:pt>
                <c:pt idx="133">
                  <c:v>1.8928844080050001E-3</c:v>
                </c:pt>
                <c:pt idx="134">
                  <c:v>4.4721164989003798E-4</c:v>
                </c:pt>
                <c:pt idx="135">
                  <c:v>8.3010679753574496E-4</c:v>
                </c:pt>
                <c:pt idx="136">
                  <c:v>1.49264819242972E-3</c:v>
                </c:pt>
                <c:pt idx="137">
                  <c:v>1.89078901738964E-3</c:v>
                </c:pt>
                <c:pt idx="138">
                  <c:v>-1.41427967488633E-3</c:v>
                </c:pt>
                <c:pt idx="139">
                  <c:v>-4.0942766195008499E-3</c:v>
                </c:pt>
                <c:pt idx="140">
                  <c:v>-2.24254204941414E-4</c:v>
                </c:pt>
                <c:pt idx="141">
                  <c:v>6.4539727704483805E-4</c:v>
                </c:pt>
                <c:pt idx="142">
                  <c:v>5.6608276892499896E-4</c:v>
                </c:pt>
                <c:pt idx="143">
                  <c:v>-9.6351620287896101E-4</c:v>
                </c:pt>
                <c:pt idx="144">
                  <c:v>7.97856213391603E-4</c:v>
                </c:pt>
                <c:pt idx="145">
                  <c:v>1.7277672107837E-3</c:v>
                </c:pt>
                <c:pt idx="146">
                  <c:v>1.70507597156439E-3</c:v>
                </c:pt>
                <c:pt idx="147">
                  <c:v>4.0725637075653002E-4</c:v>
                </c:pt>
                <c:pt idx="148">
                  <c:v>9.3396579268670396E-4</c:v>
                </c:pt>
                <c:pt idx="149">
                  <c:v>2.9509561640508001E-3</c:v>
                </c:pt>
                <c:pt idx="150">
                  <c:v>-6.8322325732860499E-4</c:v>
                </c:pt>
                <c:pt idx="151">
                  <c:v>-1.6837983496907499E-3</c:v>
                </c:pt>
                <c:pt idx="152">
                  <c:v>3.05800751845967E-4</c:v>
                </c:pt>
                <c:pt idx="153">
                  <c:v>-3.1665153111675101E-3</c:v>
                </c:pt>
                <c:pt idx="154">
                  <c:v>-2.7978263463949602E-4</c:v>
                </c:pt>
                <c:pt idx="155">
                  <c:v>-9.5211005668104196E-4</c:v>
                </c:pt>
                <c:pt idx="156">
                  <c:v>4.3270496189184299E-4</c:v>
                </c:pt>
                <c:pt idx="157">
                  <c:v>-1.5823317658539E-3</c:v>
                </c:pt>
                <c:pt idx="158">
                  <c:v>5.0406622553403595E-4</c:v>
                </c:pt>
                <c:pt idx="159">
                  <c:v>-8.9171709088178098E-5</c:v>
                </c:pt>
                <c:pt idx="160">
                  <c:v>1.0275837825331599E-3</c:v>
                </c:pt>
                <c:pt idx="161">
                  <c:v>1.30707166772492E-3</c:v>
                </c:pt>
                <c:pt idx="162">
                  <c:v>2.0650799313527999E-4</c:v>
                </c:pt>
                <c:pt idx="163">
                  <c:v>-8.1807946605608401E-4</c:v>
                </c:pt>
                <c:pt idx="164">
                  <c:v>-1.0970532418886601E-3</c:v>
                </c:pt>
                <c:pt idx="165">
                  <c:v>-1.1299877298100701E-3</c:v>
                </c:pt>
                <c:pt idx="166">
                  <c:v>1.60764791703663E-3</c:v>
                </c:pt>
                <c:pt idx="167">
                  <c:v>-1.17654688640879E-3</c:v>
                </c:pt>
                <c:pt idx="168">
                  <c:v>-1.43115432187698E-3</c:v>
                </c:pt>
                <c:pt idx="169">
                  <c:v>-5.4732503065009301E-4</c:v>
                </c:pt>
                <c:pt idx="170">
                  <c:v>1.18366060310612E-3</c:v>
                </c:pt>
                <c:pt idx="171">
                  <c:v>1.1481853623590799E-3</c:v>
                </c:pt>
                <c:pt idx="172">
                  <c:v>-1.0432584252951099E-3</c:v>
                </c:pt>
                <c:pt idx="173">
                  <c:v>-4.8954315571536698E-4</c:v>
                </c:pt>
                <c:pt idx="174">
                  <c:v>9.4599900108041798E-4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A-4589-932E-BC45F723B294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BRK B* x 20 dma / BRK 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2.40262811364212E-3</c:v>
                </c:pt>
                <c:pt idx="21">
                  <c:v>9.3031298144680998E-4</c:v>
                </c:pt>
                <c:pt idx="22">
                  <c:v>-2.5878630195792099E-3</c:v>
                </c:pt>
                <c:pt idx="23">
                  <c:v>-1.03822073709549E-3</c:v>
                </c:pt>
                <c:pt idx="24">
                  <c:v>-1.2528845367716201E-4</c:v>
                </c:pt>
                <c:pt idx="25">
                  <c:v>-4.8744216855050899E-4</c:v>
                </c:pt>
                <c:pt idx="26">
                  <c:v>1.0887563836280199E-3</c:v>
                </c:pt>
                <c:pt idx="27">
                  <c:v>2.59718916443606E-3</c:v>
                </c:pt>
                <c:pt idx="28">
                  <c:v>1.06298330013207E-3</c:v>
                </c:pt>
                <c:pt idx="29">
                  <c:v>-6.6633149298681504E-3</c:v>
                </c:pt>
                <c:pt idx="30">
                  <c:v>7.7618318505159E-4</c:v>
                </c:pt>
                <c:pt idx="31">
                  <c:v>1.2980242580019599E-3</c:v>
                </c:pt>
                <c:pt idx="32">
                  <c:v>-4.9209572625073697E-4</c:v>
                </c:pt>
                <c:pt idx="33">
                  <c:v>1.66517986543426E-3</c:v>
                </c:pt>
                <c:pt idx="34">
                  <c:v>1.83975312075986E-3</c:v>
                </c:pt>
                <c:pt idx="35">
                  <c:v>1.10399741574573E-3</c:v>
                </c:pt>
                <c:pt idx="36">
                  <c:v>-1.1486705841607899E-3</c:v>
                </c:pt>
                <c:pt idx="37">
                  <c:v>1.2206287964984699E-3</c:v>
                </c:pt>
                <c:pt idx="38">
                  <c:v>7.8175375211726901E-4</c:v>
                </c:pt>
                <c:pt idx="39">
                  <c:v>6.2936510819177802E-4</c:v>
                </c:pt>
                <c:pt idx="40">
                  <c:v>1.5184718705722601E-3</c:v>
                </c:pt>
                <c:pt idx="41">
                  <c:v>8.7550520283606896E-4</c:v>
                </c:pt>
                <c:pt idx="42">
                  <c:v>-2.9982667007255999E-5</c:v>
                </c:pt>
                <c:pt idx="43">
                  <c:v>9.3332275747880396E-4</c:v>
                </c:pt>
                <c:pt idx="44">
                  <c:v>7.2453451769305204E-4</c:v>
                </c:pt>
                <c:pt idx="45">
                  <c:v>1.48475813628975E-3</c:v>
                </c:pt>
                <c:pt idx="46">
                  <c:v>2.03013012825826E-4</c:v>
                </c:pt>
                <c:pt idx="47">
                  <c:v>1.36935330034782E-3</c:v>
                </c:pt>
                <c:pt idx="48">
                  <c:v>3.1375758699377599E-5</c:v>
                </c:pt>
                <c:pt idx="49">
                  <c:v>1.9539152543802301E-4</c:v>
                </c:pt>
                <c:pt idx="50">
                  <c:v>5.4833980079114601E-5</c:v>
                </c:pt>
                <c:pt idx="51">
                  <c:v>-3.86318773817272E-4</c:v>
                </c:pt>
                <c:pt idx="52">
                  <c:v>-1.3536238749389999E-3</c:v>
                </c:pt>
                <c:pt idx="53">
                  <c:v>3.9248556880021502E-4</c:v>
                </c:pt>
                <c:pt idx="54">
                  <c:v>-6.2652978154804104E-4</c:v>
                </c:pt>
                <c:pt idx="55">
                  <c:v>5.1704183081460503E-4</c:v>
                </c:pt>
                <c:pt idx="56">
                  <c:v>-1.50146096152794E-3</c:v>
                </c:pt>
                <c:pt idx="57">
                  <c:v>1.4790769272334001E-5</c:v>
                </c:pt>
                <c:pt idx="58">
                  <c:v>-1.90406009265257E-3</c:v>
                </c:pt>
                <c:pt idx="59">
                  <c:v>-1.4317414460998401E-3</c:v>
                </c:pt>
                <c:pt idx="60">
                  <c:v>5.5117491700391896E-4</c:v>
                </c:pt>
                <c:pt idx="61">
                  <c:v>1.73644651922482E-3</c:v>
                </c:pt>
                <c:pt idx="62">
                  <c:v>-7.9730994122372695E-4</c:v>
                </c:pt>
                <c:pt idx="63">
                  <c:v>-3.1013799652616302E-3</c:v>
                </c:pt>
                <c:pt idx="64">
                  <c:v>1.1049288107231299E-4</c:v>
                </c:pt>
                <c:pt idx="65">
                  <c:v>-1.43256590846742E-3</c:v>
                </c:pt>
                <c:pt idx="66">
                  <c:v>-1.6815101932981201E-4</c:v>
                </c:pt>
                <c:pt idx="67">
                  <c:v>-2.40311691888184E-4</c:v>
                </c:pt>
                <c:pt idx="68">
                  <c:v>-5.80712326810027E-4</c:v>
                </c:pt>
                <c:pt idx="69">
                  <c:v>-5.4942695746768499E-4</c:v>
                </c:pt>
                <c:pt idx="70">
                  <c:v>2.5395979911993999E-5</c:v>
                </c:pt>
                <c:pt idx="71">
                  <c:v>1.7668555318549101E-4</c:v>
                </c:pt>
                <c:pt idx="72">
                  <c:v>6.54741316804781E-4</c:v>
                </c:pt>
                <c:pt idx="73">
                  <c:v>2.0936161242090501E-3</c:v>
                </c:pt>
                <c:pt idx="74">
                  <c:v>-1.2415396005338E-3</c:v>
                </c:pt>
                <c:pt idx="75">
                  <c:v>-6.7912044678480896E-3</c:v>
                </c:pt>
                <c:pt idx="76">
                  <c:v>9.44665302668569E-5</c:v>
                </c:pt>
                <c:pt idx="77">
                  <c:v>-5.5564404237413902E-4</c:v>
                </c:pt>
                <c:pt idx="78">
                  <c:v>1.50293055556286E-3</c:v>
                </c:pt>
                <c:pt idx="79">
                  <c:v>9.1415121038548506E-5</c:v>
                </c:pt>
                <c:pt idx="80">
                  <c:v>5.9338661622143195E-4</c:v>
                </c:pt>
                <c:pt idx="81">
                  <c:v>-1.57297700528679E-3</c:v>
                </c:pt>
                <c:pt idx="82">
                  <c:v>-3.6011856378926699E-4</c:v>
                </c:pt>
                <c:pt idx="83">
                  <c:v>7.6707787968486099E-4</c:v>
                </c:pt>
                <c:pt idx="84">
                  <c:v>-1.76200543740905E-3</c:v>
                </c:pt>
                <c:pt idx="85">
                  <c:v>-9.0942412757237003E-4</c:v>
                </c:pt>
                <c:pt idx="86">
                  <c:v>-4.2730256634611703E-3</c:v>
                </c:pt>
                <c:pt idx="87">
                  <c:v>-3.80142451235667E-3</c:v>
                </c:pt>
                <c:pt idx="88">
                  <c:v>-1.0364015456429199E-3</c:v>
                </c:pt>
                <c:pt idx="89">
                  <c:v>-8.2603023085992301E-5</c:v>
                </c:pt>
                <c:pt idx="90">
                  <c:v>2.48478240119793E-3</c:v>
                </c:pt>
                <c:pt idx="91">
                  <c:v>-1.4733277263196399E-4</c:v>
                </c:pt>
                <c:pt idx="92">
                  <c:v>1.7427001710239899E-3</c:v>
                </c:pt>
                <c:pt idx="93">
                  <c:v>4.9466915397997201E-3</c:v>
                </c:pt>
                <c:pt idx="94">
                  <c:v>1.4787353054561401E-3</c:v>
                </c:pt>
                <c:pt idx="95">
                  <c:v>1.9873664812825498E-3</c:v>
                </c:pt>
                <c:pt idx="96">
                  <c:v>3.0967801169718701E-3</c:v>
                </c:pt>
                <c:pt idx="97">
                  <c:v>2.0359114875412899E-3</c:v>
                </c:pt>
                <c:pt idx="98">
                  <c:v>1.9255846592050999E-3</c:v>
                </c:pt>
                <c:pt idx="99">
                  <c:v>1.84520443488577E-3</c:v>
                </c:pt>
                <c:pt idx="100">
                  <c:v>1.19586769611237E-3</c:v>
                </c:pt>
                <c:pt idx="101">
                  <c:v>1.6642530537257299E-3</c:v>
                </c:pt>
                <c:pt idx="102">
                  <c:v>7.3745148427212595E-4</c:v>
                </c:pt>
                <c:pt idx="103">
                  <c:v>3.5135854884631699E-4</c:v>
                </c:pt>
                <c:pt idx="104">
                  <c:v>-6.2440409427879599E-4</c:v>
                </c:pt>
                <c:pt idx="105">
                  <c:v>-4.68336962930017E-4</c:v>
                </c:pt>
                <c:pt idx="106">
                  <c:v>-1.70752808613053E-3</c:v>
                </c:pt>
                <c:pt idx="107">
                  <c:v>5.2153424332020901E-3</c:v>
                </c:pt>
                <c:pt idx="108">
                  <c:v>1.92805843725906E-3</c:v>
                </c:pt>
                <c:pt idx="109">
                  <c:v>-2.8025093935738201E-3</c:v>
                </c:pt>
                <c:pt idx="110">
                  <c:v>2.1560580364108298E-3</c:v>
                </c:pt>
                <c:pt idx="111">
                  <c:v>1.59519226771798E-3</c:v>
                </c:pt>
                <c:pt idx="112">
                  <c:v>6.3900463352094597E-4</c:v>
                </c:pt>
                <c:pt idx="113">
                  <c:v>-1.03731953309008E-3</c:v>
                </c:pt>
                <c:pt idx="114">
                  <c:v>-1.4324256532927901E-3</c:v>
                </c:pt>
                <c:pt idx="115">
                  <c:v>-9.4203689503453199E-5</c:v>
                </c:pt>
                <c:pt idx="116">
                  <c:v>-2.7494021493390899E-3</c:v>
                </c:pt>
                <c:pt idx="117">
                  <c:v>1.2301344123143399E-3</c:v>
                </c:pt>
                <c:pt idx="118">
                  <c:v>-1.6403594143736299E-3</c:v>
                </c:pt>
                <c:pt idx="119">
                  <c:v>-2.9077149601474E-3</c:v>
                </c:pt>
                <c:pt idx="120">
                  <c:v>3.3862888308333798E-3</c:v>
                </c:pt>
                <c:pt idx="121">
                  <c:v>6.9843485731456903E-5</c:v>
                </c:pt>
                <c:pt idx="122">
                  <c:v>1.7499214616119099E-3</c:v>
                </c:pt>
                <c:pt idx="123">
                  <c:v>-2.5130486409642E-3</c:v>
                </c:pt>
                <c:pt idx="124">
                  <c:v>-4.45637522115695E-4</c:v>
                </c:pt>
                <c:pt idx="125">
                  <c:v>3.1696800826135599E-3</c:v>
                </c:pt>
                <c:pt idx="126">
                  <c:v>-8.3652218060051699E-4</c:v>
                </c:pt>
                <c:pt idx="127">
                  <c:v>-9.0677423966092196E-3</c:v>
                </c:pt>
                <c:pt idx="128">
                  <c:v>2.63133477465391E-3</c:v>
                </c:pt>
                <c:pt idx="129">
                  <c:v>8.2030987425790898E-4</c:v>
                </c:pt>
                <c:pt idx="130">
                  <c:v>1.3253693123461001E-4</c:v>
                </c:pt>
                <c:pt idx="131">
                  <c:v>-8.1735801019136697E-4</c:v>
                </c:pt>
                <c:pt idx="132">
                  <c:v>-1.07000769609678E-3</c:v>
                </c:pt>
                <c:pt idx="133">
                  <c:v>1.54805164221965E-3</c:v>
                </c:pt>
                <c:pt idx="134">
                  <c:v>3.7014994539146E-4</c:v>
                </c:pt>
                <c:pt idx="135">
                  <c:v>7.4022478225740495E-4</c:v>
                </c:pt>
                <c:pt idx="136">
                  <c:v>1.11040294979951E-3</c:v>
                </c:pt>
                <c:pt idx="137">
                  <c:v>1.4799829960409801E-3</c:v>
                </c:pt>
                <c:pt idx="138">
                  <c:v>-8.2083844756812303E-4</c:v>
                </c:pt>
                <c:pt idx="139">
                  <c:v>-3.8601370103199498E-3</c:v>
                </c:pt>
                <c:pt idx="140">
                  <c:v>-3.90898517036107E-4</c:v>
                </c:pt>
                <c:pt idx="141">
                  <c:v>6.0757694349585802E-4</c:v>
                </c:pt>
                <c:pt idx="142">
                  <c:v>6.4621303617260297E-4</c:v>
                </c:pt>
                <c:pt idx="143">
                  <c:v>-6.4083095022325197E-4</c:v>
                </c:pt>
                <c:pt idx="144">
                  <c:v>8.3750365803288498E-4</c:v>
                </c:pt>
                <c:pt idx="145">
                  <c:v>1.77002248357658E-3</c:v>
                </c:pt>
                <c:pt idx="146">
                  <c:v>1.9394464378552701E-3</c:v>
                </c:pt>
                <c:pt idx="147">
                  <c:v>6.1103530765934495E-4</c:v>
                </c:pt>
                <c:pt idx="148">
                  <c:v>5.8430323813352201E-4</c:v>
                </c:pt>
                <c:pt idx="149">
                  <c:v>2.8523859501631199E-3</c:v>
                </c:pt>
                <c:pt idx="150">
                  <c:v>-2.0844700298887201E-4</c:v>
                </c:pt>
                <c:pt idx="151">
                  <c:v>-1.15124240426867E-3</c:v>
                </c:pt>
                <c:pt idx="152">
                  <c:v>7.1477923547245796E-4</c:v>
                </c:pt>
                <c:pt idx="153">
                  <c:v>-2.8119252378969901E-3</c:v>
                </c:pt>
                <c:pt idx="154">
                  <c:v>1.10476941408434E-4</c:v>
                </c:pt>
                <c:pt idx="155">
                  <c:v>-5.9821415784942799E-4</c:v>
                </c:pt>
                <c:pt idx="156">
                  <c:v>6.3891187050773603E-4</c:v>
                </c:pt>
                <c:pt idx="157">
                  <c:v>-1.45310923506096E-3</c:v>
                </c:pt>
                <c:pt idx="158">
                  <c:v>6.0041958593616204E-4</c:v>
                </c:pt>
                <c:pt idx="159">
                  <c:v>-8.7113246862965702E-5</c:v>
                </c:pt>
                <c:pt idx="160">
                  <c:v>5.3551824490948496E-4</c:v>
                </c:pt>
                <c:pt idx="161">
                  <c:v>8.2675801049686805E-4</c:v>
                </c:pt>
                <c:pt idx="162">
                  <c:v>-1.0910910218317401E-4</c:v>
                </c:pt>
                <c:pt idx="163">
                  <c:v>-1.1980586900286699E-3</c:v>
                </c:pt>
                <c:pt idx="164">
                  <c:v>-1.3226555193907601E-3</c:v>
                </c:pt>
                <c:pt idx="165">
                  <c:v>-1.40416418045557E-3</c:v>
                </c:pt>
                <c:pt idx="166">
                  <c:v>1.3957119810006401E-3</c:v>
                </c:pt>
                <c:pt idx="167">
                  <c:v>-1.3080291044977499E-3</c:v>
                </c:pt>
                <c:pt idx="168">
                  <c:v>-1.46888278819194E-3</c:v>
                </c:pt>
                <c:pt idx="169">
                  <c:v>-6.73760297100126E-4</c:v>
                </c:pt>
                <c:pt idx="170">
                  <c:v>1.1732207389692499E-3</c:v>
                </c:pt>
                <c:pt idx="171">
                  <c:v>1.10819971643746E-3</c:v>
                </c:pt>
                <c:pt idx="172">
                  <c:v>-1.19664206288331E-3</c:v>
                </c:pt>
                <c:pt idx="173">
                  <c:v>-6.8425291938194795E-4</c:v>
                </c:pt>
                <c:pt idx="174">
                  <c:v>6.6871015999998601E-4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AA-4589-932E-BC45F723B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BRK A*/BRK 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1499.9485700668399</c:v>
                </c:pt>
                <c:pt idx="1">
                  <c:v>1499.9485700668399</c:v>
                </c:pt>
                <c:pt idx="2">
                  <c:v>1499.9485700668399</c:v>
                </c:pt>
                <c:pt idx="3">
                  <c:v>1499.9485700668399</c:v>
                </c:pt>
                <c:pt idx="4">
                  <c:v>1499.9485700668399</c:v>
                </c:pt>
                <c:pt idx="5">
                  <c:v>1499.9485700668399</c:v>
                </c:pt>
                <c:pt idx="6">
                  <c:v>1499.9485700668399</c:v>
                </c:pt>
                <c:pt idx="7">
                  <c:v>1499.9485700668399</c:v>
                </c:pt>
                <c:pt idx="8">
                  <c:v>1499.9485700668399</c:v>
                </c:pt>
                <c:pt idx="9">
                  <c:v>1499.9485700668399</c:v>
                </c:pt>
                <c:pt idx="10">
                  <c:v>1499.9485700668399</c:v>
                </c:pt>
                <c:pt idx="11">
                  <c:v>1499.9485700668399</c:v>
                </c:pt>
                <c:pt idx="12">
                  <c:v>1499.9485700668399</c:v>
                </c:pt>
                <c:pt idx="13">
                  <c:v>1499.9485700668399</c:v>
                </c:pt>
                <c:pt idx="14">
                  <c:v>1499.9485700668399</c:v>
                </c:pt>
                <c:pt idx="15">
                  <c:v>1499.9485700668399</c:v>
                </c:pt>
                <c:pt idx="16">
                  <c:v>1499.9485700668399</c:v>
                </c:pt>
                <c:pt idx="17">
                  <c:v>1499.9485700668399</c:v>
                </c:pt>
                <c:pt idx="18">
                  <c:v>1499.9485700668399</c:v>
                </c:pt>
                <c:pt idx="19">
                  <c:v>1499.9485700668399</c:v>
                </c:pt>
                <c:pt idx="20">
                  <c:v>1499.9485700668399</c:v>
                </c:pt>
                <c:pt idx="21">
                  <c:v>1499.9485700668399</c:v>
                </c:pt>
                <c:pt idx="22">
                  <c:v>1499.9485700668399</c:v>
                </c:pt>
                <c:pt idx="23">
                  <c:v>1499.9485700668399</c:v>
                </c:pt>
                <c:pt idx="24">
                  <c:v>1499.9485700668399</c:v>
                </c:pt>
                <c:pt idx="25">
                  <c:v>1499.9485700668399</c:v>
                </c:pt>
                <c:pt idx="26">
                  <c:v>1499.9485700668399</c:v>
                </c:pt>
                <c:pt idx="27">
                  <c:v>1499.9485700668399</c:v>
                </c:pt>
                <c:pt idx="28">
                  <c:v>1499.9485700668399</c:v>
                </c:pt>
                <c:pt idx="29">
                  <c:v>1499.9485700668399</c:v>
                </c:pt>
                <c:pt idx="30">
                  <c:v>1499.9485700668399</c:v>
                </c:pt>
                <c:pt idx="31">
                  <c:v>1499.9485700668399</c:v>
                </c:pt>
                <c:pt idx="32">
                  <c:v>1499.9485700668399</c:v>
                </c:pt>
                <c:pt idx="33">
                  <c:v>1499.9485700668399</c:v>
                </c:pt>
                <c:pt idx="34">
                  <c:v>1499.9485700668399</c:v>
                </c:pt>
                <c:pt idx="35">
                  <c:v>1499.9485700668399</c:v>
                </c:pt>
                <c:pt idx="36">
                  <c:v>1499.9485700668399</c:v>
                </c:pt>
                <c:pt idx="37">
                  <c:v>1499.9485700668399</c:v>
                </c:pt>
                <c:pt idx="38">
                  <c:v>1499.9485700668399</c:v>
                </c:pt>
                <c:pt idx="39">
                  <c:v>1499.9485700668399</c:v>
                </c:pt>
                <c:pt idx="40">
                  <c:v>1499.9485700668399</c:v>
                </c:pt>
                <c:pt idx="41">
                  <c:v>1499.9485700668399</c:v>
                </c:pt>
                <c:pt idx="42">
                  <c:v>1499.9485700668399</c:v>
                </c:pt>
                <c:pt idx="43">
                  <c:v>1499.9485700668399</c:v>
                </c:pt>
                <c:pt idx="44">
                  <c:v>1499.9485700668399</c:v>
                </c:pt>
                <c:pt idx="45">
                  <c:v>1499.9485700668399</c:v>
                </c:pt>
                <c:pt idx="46">
                  <c:v>1499.9485700668399</c:v>
                </c:pt>
                <c:pt idx="47">
                  <c:v>1499.9485700668399</c:v>
                </c:pt>
                <c:pt idx="48">
                  <c:v>1499.9485700668399</c:v>
                </c:pt>
                <c:pt idx="49">
                  <c:v>1499.9485700668399</c:v>
                </c:pt>
                <c:pt idx="50">
                  <c:v>1499.9485700668399</c:v>
                </c:pt>
                <c:pt idx="51">
                  <c:v>1499.9485700668399</c:v>
                </c:pt>
                <c:pt idx="52">
                  <c:v>1499.9485700668399</c:v>
                </c:pt>
                <c:pt idx="53">
                  <c:v>1499.9485700668399</c:v>
                </c:pt>
                <c:pt idx="54">
                  <c:v>1499.9485700668399</c:v>
                </c:pt>
                <c:pt idx="55">
                  <c:v>1499.9485700668399</c:v>
                </c:pt>
                <c:pt idx="56">
                  <c:v>1499.9485700668399</c:v>
                </c:pt>
                <c:pt idx="57">
                  <c:v>1499.9485700668399</c:v>
                </c:pt>
                <c:pt idx="58">
                  <c:v>1499.9485700668399</c:v>
                </c:pt>
                <c:pt idx="59">
                  <c:v>1499.9485700668399</c:v>
                </c:pt>
                <c:pt idx="60">
                  <c:v>1499.9485700668399</c:v>
                </c:pt>
                <c:pt idx="61">
                  <c:v>1499.9485700668399</c:v>
                </c:pt>
                <c:pt idx="62">
                  <c:v>1499.9485700668399</c:v>
                </c:pt>
                <c:pt idx="63">
                  <c:v>1499.9485700668399</c:v>
                </c:pt>
                <c:pt idx="64">
                  <c:v>1499.9485700668399</c:v>
                </c:pt>
                <c:pt idx="65">
                  <c:v>1499.9485700668399</c:v>
                </c:pt>
                <c:pt idx="66">
                  <c:v>1499.9485700668399</c:v>
                </c:pt>
                <c:pt idx="67">
                  <c:v>1499.9485700668399</c:v>
                </c:pt>
                <c:pt idx="68">
                  <c:v>1499.9485700668399</c:v>
                </c:pt>
                <c:pt idx="69">
                  <c:v>1499.9485700668399</c:v>
                </c:pt>
                <c:pt idx="70">
                  <c:v>1499.9485700668399</c:v>
                </c:pt>
                <c:pt idx="71">
                  <c:v>1499.9485700668399</c:v>
                </c:pt>
                <c:pt idx="72">
                  <c:v>1499.9485700668399</c:v>
                </c:pt>
                <c:pt idx="73">
                  <c:v>1499.9485700668399</c:v>
                </c:pt>
                <c:pt idx="74">
                  <c:v>1499.9485700668399</c:v>
                </c:pt>
                <c:pt idx="75">
                  <c:v>1499.9485700668399</c:v>
                </c:pt>
                <c:pt idx="76">
                  <c:v>1499.9485700668399</c:v>
                </c:pt>
                <c:pt idx="77">
                  <c:v>1499.9485700668399</c:v>
                </c:pt>
                <c:pt idx="78">
                  <c:v>1499.9485700668399</c:v>
                </c:pt>
                <c:pt idx="79">
                  <c:v>1499.9485700668399</c:v>
                </c:pt>
                <c:pt idx="80">
                  <c:v>1499.9485700668399</c:v>
                </c:pt>
                <c:pt idx="81">
                  <c:v>1499.9485700668399</c:v>
                </c:pt>
                <c:pt idx="82">
                  <c:v>1499.9485700668399</c:v>
                </c:pt>
                <c:pt idx="83">
                  <c:v>1499.9485700668399</c:v>
                </c:pt>
                <c:pt idx="84">
                  <c:v>1499.9485700668399</c:v>
                </c:pt>
                <c:pt idx="85">
                  <c:v>1499.9485700668399</c:v>
                </c:pt>
                <c:pt idx="86">
                  <c:v>1499.9485700668399</c:v>
                </c:pt>
                <c:pt idx="87">
                  <c:v>1499.9485700668399</c:v>
                </c:pt>
                <c:pt idx="88">
                  <c:v>1499.9485700668399</c:v>
                </c:pt>
                <c:pt idx="89">
                  <c:v>1499.9485700668399</c:v>
                </c:pt>
                <c:pt idx="90">
                  <c:v>1499.9485700668399</c:v>
                </c:pt>
                <c:pt idx="91">
                  <c:v>1499.9485700668399</c:v>
                </c:pt>
                <c:pt idx="92">
                  <c:v>1499.9485700668399</c:v>
                </c:pt>
                <c:pt idx="93">
                  <c:v>1499.9485700668399</c:v>
                </c:pt>
                <c:pt idx="94">
                  <c:v>1499.9485700668399</c:v>
                </c:pt>
                <c:pt idx="95">
                  <c:v>1499.9485700668399</c:v>
                </c:pt>
                <c:pt idx="96">
                  <c:v>1499.9485700668399</c:v>
                </c:pt>
                <c:pt idx="97">
                  <c:v>1499.9485700668399</c:v>
                </c:pt>
                <c:pt idx="98">
                  <c:v>1499.9485700668399</c:v>
                </c:pt>
                <c:pt idx="99">
                  <c:v>1499.9485700668399</c:v>
                </c:pt>
                <c:pt idx="100">
                  <c:v>1499.9485700668399</c:v>
                </c:pt>
                <c:pt idx="101">
                  <c:v>1499.9485700668399</c:v>
                </c:pt>
                <c:pt idx="102">
                  <c:v>1499.9485700668399</c:v>
                </c:pt>
                <c:pt idx="103">
                  <c:v>1499.9485700668399</c:v>
                </c:pt>
                <c:pt idx="104">
                  <c:v>1499.9485700668399</c:v>
                </c:pt>
                <c:pt idx="105">
                  <c:v>1499.9485700668399</c:v>
                </c:pt>
                <c:pt idx="106">
                  <c:v>1499.9485700668399</c:v>
                </c:pt>
                <c:pt idx="107">
                  <c:v>1499.9485700668399</c:v>
                </c:pt>
                <c:pt idx="108">
                  <c:v>1499.9485700668399</c:v>
                </c:pt>
                <c:pt idx="109">
                  <c:v>1499.9485700668399</c:v>
                </c:pt>
                <c:pt idx="110">
                  <c:v>1499.9485700668399</c:v>
                </c:pt>
                <c:pt idx="111">
                  <c:v>1499.9485700668399</c:v>
                </c:pt>
                <c:pt idx="112">
                  <c:v>1499.9485700668399</c:v>
                </c:pt>
                <c:pt idx="113">
                  <c:v>1499.9485700668399</c:v>
                </c:pt>
                <c:pt idx="114">
                  <c:v>1499.9485700668399</c:v>
                </c:pt>
                <c:pt idx="115">
                  <c:v>1499.9485700668399</c:v>
                </c:pt>
                <c:pt idx="116">
                  <c:v>1499.9485700668399</c:v>
                </c:pt>
                <c:pt idx="117">
                  <c:v>1499.9485700668399</c:v>
                </c:pt>
                <c:pt idx="118">
                  <c:v>1499.9485700668399</c:v>
                </c:pt>
                <c:pt idx="119">
                  <c:v>1499.9485700668399</c:v>
                </c:pt>
                <c:pt idx="120">
                  <c:v>1499.9485700668399</c:v>
                </c:pt>
                <c:pt idx="121">
                  <c:v>1499.9485700668399</c:v>
                </c:pt>
                <c:pt idx="122">
                  <c:v>1499.9485700668399</c:v>
                </c:pt>
                <c:pt idx="123">
                  <c:v>1499.9485700668399</c:v>
                </c:pt>
                <c:pt idx="124">
                  <c:v>1499.9485700668399</c:v>
                </c:pt>
                <c:pt idx="125">
                  <c:v>1499.9485700668399</c:v>
                </c:pt>
                <c:pt idx="126">
                  <c:v>1499.9485700668399</c:v>
                </c:pt>
                <c:pt idx="127">
                  <c:v>1499.9485700668399</c:v>
                </c:pt>
                <c:pt idx="128">
                  <c:v>1499.9485700668399</c:v>
                </c:pt>
                <c:pt idx="129">
                  <c:v>1499.9485700668399</c:v>
                </c:pt>
                <c:pt idx="130">
                  <c:v>1499.9485700668399</c:v>
                </c:pt>
                <c:pt idx="131">
                  <c:v>1499.9485700668399</c:v>
                </c:pt>
                <c:pt idx="132">
                  <c:v>1499.9485700668399</c:v>
                </c:pt>
                <c:pt idx="133">
                  <c:v>1499.9485700668399</c:v>
                </c:pt>
                <c:pt idx="134">
                  <c:v>1499.9485700668399</c:v>
                </c:pt>
                <c:pt idx="135">
                  <c:v>1499.9485700668399</c:v>
                </c:pt>
                <c:pt idx="136">
                  <c:v>1499.9485700668399</c:v>
                </c:pt>
                <c:pt idx="137">
                  <c:v>1499.9485700668399</c:v>
                </c:pt>
                <c:pt idx="138">
                  <c:v>1499.9485700668399</c:v>
                </c:pt>
                <c:pt idx="139">
                  <c:v>1499.9485700668399</c:v>
                </c:pt>
                <c:pt idx="140">
                  <c:v>1499.9485700668399</c:v>
                </c:pt>
                <c:pt idx="141">
                  <c:v>1499.9485700668399</c:v>
                </c:pt>
                <c:pt idx="142">
                  <c:v>1499.9485700668399</c:v>
                </c:pt>
                <c:pt idx="143">
                  <c:v>1499.9485700668399</c:v>
                </c:pt>
                <c:pt idx="144">
                  <c:v>1499.9485700668399</c:v>
                </c:pt>
                <c:pt idx="145">
                  <c:v>1499.9485700668399</c:v>
                </c:pt>
                <c:pt idx="146">
                  <c:v>1499.9485700668399</c:v>
                </c:pt>
                <c:pt idx="147">
                  <c:v>1499.9485700668399</c:v>
                </c:pt>
                <c:pt idx="148">
                  <c:v>1499.9485700668399</c:v>
                </c:pt>
                <c:pt idx="149">
                  <c:v>1499.9485700668399</c:v>
                </c:pt>
                <c:pt idx="150">
                  <c:v>1499.9485700668399</c:v>
                </c:pt>
                <c:pt idx="151">
                  <c:v>1499.9485700668399</c:v>
                </c:pt>
                <c:pt idx="152">
                  <c:v>1499.9485700668399</c:v>
                </c:pt>
                <c:pt idx="153">
                  <c:v>1499.9485700668399</c:v>
                </c:pt>
                <c:pt idx="154">
                  <c:v>1499.9485700668399</c:v>
                </c:pt>
                <c:pt idx="155">
                  <c:v>1499.9485700668399</c:v>
                </c:pt>
                <c:pt idx="156">
                  <c:v>1499.9485700668399</c:v>
                </c:pt>
                <c:pt idx="157">
                  <c:v>1499.9485700668399</c:v>
                </c:pt>
                <c:pt idx="158">
                  <c:v>1499.9485700668399</c:v>
                </c:pt>
                <c:pt idx="159">
                  <c:v>1499.9485700668399</c:v>
                </c:pt>
                <c:pt idx="160">
                  <c:v>1499.9485700668399</c:v>
                </c:pt>
                <c:pt idx="161">
                  <c:v>1499.9485700668399</c:v>
                </c:pt>
                <c:pt idx="162">
                  <c:v>1499.9485700668399</c:v>
                </c:pt>
                <c:pt idx="163">
                  <c:v>1499.9485700668399</c:v>
                </c:pt>
                <c:pt idx="164">
                  <c:v>1499.9485700668399</c:v>
                </c:pt>
                <c:pt idx="165">
                  <c:v>1499.9485700668399</c:v>
                </c:pt>
                <c:pt idx="166">
                  <c:v>1499.9485700668399</c:v>
                </c:pt>
                <c:pt idx="167">
                  <c:v>1499.9485700668399</c:v>
                </c:pt>
                <c:pt idx="168">
                  <c:v>1499.9485700668399</c:v>
                </c:pt>
                <c:pt idx="169">
                  <c:v>1499.9485700668399</c:v>
                </c:pt>
                <c:pt idx="170">
                  <c:v>1499.9485700668399</c:v>
                </c:pt>
                <c:pt idx="171">
                  <c:v>1499.9485700668399</c:v>
                </c:pt>
                <c:pt idx="172">
                  <c:v>1499.9485700668399</c:v>
                </c:pt>
                <c:pt idx="173">
                  <c:v>1499.9485700668399</c:v>
                </c:pt>
                <c:pt idx="174">
                  <c:v>1499.9485700668399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4-4CBD-BBDA-54C50B733BF2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BRK A*/BRK 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1500.48488258315</c:v>
                </c:pt>
                <c:pt idx="10">
                  <c:v>1500.8825643246901</c:v>
                </c:pt>
                <c:pt idx="11">
                  <c:v>1500.66777597746</c:v>
                </c:pt>
                <c:pt idx="12">
                  <c:v>1500.43876241505</c:v>
                </c:pt>
                <c:pt idx="13">
                  <c:v>1500.1630544263501</c:v>
                </c:pt>
                <c:pt idx="14">
                  <c:v>1500.55118611485</c:v>
                </c:pt>
                <c:pt idx="15">
                  <c:v>1500.9207071486301</c:v>
                </c:pt>
                <c:pt idx="16">
                  <c:v>1501.1594038088399</c:v>
                </c:pt>
                <c:pt idx="17">
                  <c:v>1501.1172499859099</c:v>
                </c:pt>
                <c:pt idx="18">
                  <c:v>1500.1158608206999</c:v>
                </c:pt>
                <c:pt idx="19">
                  <c:v>1500.5192178345701</c:v>
                </c:pt>
                <c:pt idx="20">
                  <c:v>1500.04412354429</c:v>
                </c:pt>
                <c:pt idx="21">
                  <c:v>1500.0714420773199</c:v>
                </c:pt>
                <c:pt idx="22">
                  <c:v>1500.8414133961501</c:v>
                </c:pt>
                <c:pt idx="23">
                  <c:v>1501.1717280534699</c:v>
                </c:pt>
                <c:pt idx="24">
                  <c:v>1500.7400789292101</c:v>
                </c:pt>
                <c:pt idx="25">
                  <c:v>1500.6264995573399</c:v>
                </c:pt>
                <c:pt idx="26">
                  <c:v>1500.33093181193</c:v>
                </c:pt>
                <c:pt idx="27">
                  <c:v>1500.1714127130001</c:v>
                </c:pt>
                <c:pt idx="28">
                  <c:v>1500.32495170476</c:v>
                </c:pt>
                <c:pt idx="29">
                  <c:v>1500.9951577588299</c:v>
                </c:pt>
                <c:pt idx="30">
                  <c:v>1501.26431256</c:v>
                </c:pt>
                <c:pt idx="31">
                  <c:v>1501.2282629210399</c:v>
                </c:pt>
                <c:pt idx="32">
                  <c:v>1500.9413738410999</c:v>
                </c:pt>
                <c:pt idx="33">
                  <c:v>1500.5609064984601</c:v>
                </c:pt>
                <c:pt idx="34">
                  <c:v>1500.28612778819</c:v>
                </c:pt>
                <c:pt idx="35">
                  <c:v>1500.03414439472</c:v>
                </c:pt>
                <c:pt idx="36">
                  <c:v>1500.3255625720101</c:v>
                </c:pt>
                <c:pt idx="37">
                  <c:v>1500.49011403905</c:v>
                </c:pt>
                <c:pt idx="38">
                  <c:v>1500.5009453899099</c:v>
                </c:pt>
                <c:pt idx="39">
                  <c:v>1499.42281658756</c:v>
                </c:pt>
                <c:pt idx="40">
                  <c:v>1499.2568079326199</c:v>
                </c:pt>
                <c:pt idx="41">
                  <c:v>1499.28081323317</c:v>
                </c:pt>
                <c:pt idx="42">
                  <c:v>1499.171915511</c:v>
                </c:pt>
                <c:pt idx="43">
                  <c:v>1499.1982196732999</c:v>
                </c:pt>
                <c:pt idx="44">
                  <c:v>1499.26678066763</c:v>
                </c:pt>
                <c:pt idx="45">
                  <c:v>1499.1361653072699</c:v>
                </c:pt>
                <c:pt idx="46">
                  <c:v>1498.858770606</c:v>
                </c:pt>
                <c:pt idx="47">
                  <c:v>1498.76297859188</c:v>
                </c:pt>
                <c:pt idx="48">
                  <c:v>1498.80509485435</c:v>
                </c:pt>
                <c:pt idx="49">
                  <c:v>1498.7942039714901</c:v>
                </c:pt>
                <c:pt idx="50">
                  <c:v>1498.90356594523</c:v>
                </c:pt>
                <c:pt idx="51">
                  <c:v>1498.9747431953999</c:v>
                </c:pt>
                <c:pt idx="52">
                  <c:v>1499.0606318980799</c:v>
                </c:pt>
                <c:pt idx="53">
                  <c:v>1499.0477065820401</c:v>
                </c:pt>
                <c:pt idx="54">
                  <c:v>1499.1746326268601</c:v>
                </c:pt>
                <c:pt idx="55">
                  <c:v>1499.2640772206701</c:v>
                </c:pt>
                <c:pt idx="56">
                  <c:v>1499.48128242087</c:v>
                </c:pt>
                <c:pt idx="57">
                  <c:v>1499.6420576579201</c:v>
                </c:pt>
                <c:pt idx="58">
                  <c:v>1499.89008906205</c:v>
                </c:pt>
                <c:pt idx="59">
                  <c:v>1500.1036668889999</c:v>
                </c:pt>
                <c:pt idx="60">
                  <c:v>1500.0633062950501</c:v>
                </c:pt>
                <c:pt idx="61">
                  <c:v>1499.7855563989499</c:v>
                </c:pt>
                <c:pt idx="62">
                  <c:v>1499.72732537823</c:v>
                </c:pt>
                <c:pt idx="63">
                  <c:v>1500.2796633678399</c:v>
                </c:pt>
                <c:pt idx="64">
                  <c:v>1500.2232123041999</c:v>
                </c:pt>
                <c:pt idx="65">
                  <c:v>1500.5635255478001</c:v>
                </c:pt>
                <c:pt idx="66">
                  <c:v>1500.43484876501</c:v>
                </c:pt>
                <c:pt idx="67">
                  <c:v>1500.5519201218699</c:v>
                </c:pt>
                <c:pt idx="68">
                  <c:v>1500.44277587327</c:v>
                </c:pt>
                <c:pt idx="69">
                  <c:v>1500.39228420227</c:v>
                </c:pt>
                <c:pt idx="70">
                  <c:v>1500.5510013277201</c:v>
                </c:pt>
                <c:pt idx="71">
                  <c:v>1500.8670185230901</c:v>
                </c:pt>
                <c:pt idx="72">
                  <c:v>1500.7438371393901</c:v>
                </c:pt>
                <c:pt idx="73">
                  <c:v>1500.0484933346299</c:v>
                </c:pt>
                <c:pt idx="74">
                  <c:v>1500.3014689510701</c:v>
                </c:pt>
                <c:pt idx="75">
                  <c:v>1501.1651413667601</c:v>
                </c:pt>
                <c:pt idx="76">
                  <c:v>1501.22079377506</c:v>
                </c:pt>
                <c:pt idx="77">
                  <c:v>1501.3551350416101</c:v>
                </c:pt>
                <c:pt idx="78">
                  <c:v>1501.12823767188</c:v>
                </c:pt>
                <c:pt idx="79">
                  <c:v>1501.0939804457801</c:v>
                </c:pt>
                <c:pt idx="80">
                  <c:v>1501.05828042901</c:v>
                </c:pt>
                <c:pt idx="81">
                  <c:v>1501.3707939391099</c:v>
                </c:pt>
                <c:pt idx="82">
                  <c:v>1501.6023240388699</c:v>
                </c:pt>
                <c:pt idx="83">
                  <c:v>1501.8947296352601</c:v>
                </c:pt>
                <c:pt idx="84">
                  <c:v>1502.0538211220801</c:v>
                </c:pt>
                <c:pt idx="85">
                  <c:v>1501.2596080610299</c:v>
                </c:pt>
                <c:pt idx="86">
                  <c:v>1501.95143402909</c:v>
                </c:pt>
                <c:pt idx="87">
                  <c:v>1502.5157504762899</c:v>
                </c:pt>
                <c:pt idx="88">
                  <c:v>1502.9950969659601</c:v>
                </c:pt>
                <c:pt idx="89">
                  <c:v>1503.1488398383301</c:v>
                </c:pt>
                <c:pt idx="90">
                  <c:v>1503.00291214049</c:v>
                </c:pt>
                <c:pt idx="91">
                  <c:v>1502.91138025953</c:v>
                </c:pt>
                <c:pt idx="92">
                  <c:v>1502.6979803480999</c:v>
                </c:pt>
                <c:pt idx="93">
                  <c:v>1502.16956251188</c:v>
                </c:pt>
                <c:pt idx="94">
                  <c:v>1501.7889641633799</c:v>
                </c:pt>
                <c:pt idx="95">
                  <c:v>1501.42856569218</c:v>
                </c:pt>
                <c:pt idx="96">
                  <c:v>1500.3346784447699</c:v>
                </c:pt>
                <c:pt idx="97">
                  <c:v>1499.4131611747</c:v>
                </c:pt>
                <c:pt idx="98">
                  <c:v>1498.8715756464701</c:v>
                </c:pt>
                <c:pt idx="99">
                  <c:v>1498.46963702468</c:v>
                </c:pt>
                <c:pt idx="100">
                  <c:v>1498.53183135017</c:v>
                </c:pt>
                <c:pt idx="101">
                  <c:v>1498.13381948595</c:v>
                </c:pt>
                <c:pt idx="102">
                  <c:v>1498.12290547819</c:v>
                </c:pt>
                <c:pt idx="103">
                  <c:v>1498.6374581161499</c:v>
                </c:pt>
                <c:pt idx="104">
                  <c:v>1498.79025626048</c:v>
                </c:pt>
                <c:pt idx="105">
                  <c:v>1498.99554899993</c:v>
                </c:pt>
                <c:pt idx="106">
                  <c:v>1499.60294439476</c:v>
                </c:pt>
                <c:pt idx="107">
                  <c:v>1499.0105797578201</c:v>
                </c:pt>
                <c:pt idx="108">
                  <c:v>1498.83528821451</c:v>
                </c:pt>
                <c:pt idx="109">
                  <c:v>1499.3246395382</c:v>
                </c:pt>
                <c:pt idx="110">
                  <c:v>1498.98997639456</c:v>
                </c:pt>
                <c:pt idx="111">
                  <c:v>1498.79999696238</c:v>
                </c:pt>
                <c:pt idx="112">
                  <c:v>1498.60932112454</c:v>
                </c:pt>
                <c:pt idx="113">
                  <c:v>1498.6131061926001</c:v>
                </c:pt>
                <c:pt idx="114">
                  <c:v>1498.55638906269</c:v>
                </c:pt>
                <c:pt idx="115">
                  <c:v>1498.33859846413</c:v>
                </c:pt>
                <c:pt idx="116">
                  <c:v>1498.3403266550199</c:v>
                </c:pt>
                <c:pt idx="117">
                  <c:v>1498.8365774727899</c:v>
                </c:pt>
                <c:pt idx="118">
                  <c:v>1499.34260573137</c:v>
                </c:pt>
                <c:pt idx="119">
                  <c:v>1499.3820396747401</c:v>
                </c:pt>
                <c:pt idx="120">
                  <c:v>1499.2436169263201</c:v>
                </c:pt>
                <c:pt idx="121">
                  <c:v>1499.50762680813</c:v>
                </c:pt>
                <c:pt idx="122">
                  <c:v>1499.40992857782</c:v>
                </c:pt>
                <c:pt idx="123">
                  <c:v>1499.6959527968199</c:v>
                </c:pt>
                <c:pt idx="124">
                  <c:v>1499.6008796195799</c:v>
                </c:pt>
                <c:pt idx="125">
                  <c:v>1499.15288435547</c:v>
                </c:pt>
                <c:pt idx="126">
                  <c:v>1498.8735661783001</c:v>
                </c:pt>
                <c:pt idx="127">
                  <c:v>1500.3864554669799</c:v>
                </c:pt>
                <c:pt idx="128">
                  <c:v>1499.81509084963</c:v>
                </c:pt>
                <c:pt idx="129">
                  <c:v>1499.3045928121201</c:v>
                </c:pt>
                <c:pt idx="130">
                  <c:v>1499.79058562205</c:v>
                </c:pt>
                <c:pt idx="131">
                  <c:v>1499.9637004065401</c:v>
                </c:pt>
                <c:pt idx="132">
                  <c:v>1500.44455507267</c:v>
                </c:pt>
                <c:pt idx="133">
                  <c:v>1499.9271177703599</c:v>
                </c:pt>
                <c:pt idx="134">
                  <c:v>1499.8704902674699</c:v>
                </c:pt>
                <c:pt idx="135">
                  <c:v>1500.29962996463</c:v>
                </c:pt>
                <c:pt idx="136">
                  <c:v>1500.1058180581699</c:v>
                </c:pt>
                <c:pt idx="137">
                  <c:v>1498.60725693467</c:v>
                </c:pt>
                <c:pt idx="138">
                  <c:v>1499.1130051934999</c:v>
                </c:pt>
                <c:pt idx="139">
                  <c:v>1499.8044189156999</c:v>
                </c:pt>
                <c:pt idx="140">
                  <c:v>1499.9040372186</c:v>
                </c:pt>
                <c:pt idx="141">
                  <c:v>1499.7233443120101</c:v>
                </c:pt>
                <c:pt idx="142">
                  <c:v>1499.47668089846</c:v>
                </c:pt>
                <c:pt idx="143">
                  <c:v>1499.8081882885199</c:v>
                </c:pt>
                <c:pt idx="144">
                  <c:v>1499.7437434276301</c:v>
                </c:pt>
                <c:pt idx="145">
                  <c:v>1499.59662526546</c:v>
                </c:pt>
                <c:pt idx="146">
                  <c:v>1499.4946249450099</c:v>
                </c:pt>
                <c:pt idx="147">
                  <c:v>1499.6558205726101</c:v>
                </c:pt>
                <c:pt idx="148">
                  <c:v>1499.4085846753901</c:v>
                </c:pt>
                <c:pt idx="149">
                  <c:v>1498.3812893960801</c:v>
                </c:pt>
                <c:pt idx="150">
                  <c:v>1498.3077468020899</c:v>
                </c:pt>
                <c:pt idx="151">
                  <c:v>1498.49738725576</c:v>
                </c:pt>
                <c:pt idx="152">
                  <c:v>1498.41384712276</c:v>
                </c:pt>
                <c:pt idx="153">
                  <c:v>1498.63824416079</c:v>
                </c:pt>
                <c:pt idx="154">
                  <c:v>1498.68280031364</c:v>
                </c:pt>
                <c:pt idx="155">
                  <c:v>1498.9783621343099</c:v>
                </c:pt>
                <c:pt idx="156">
                  <c:v>1499.1071630680699</c:v>
                </c:pt>
                <c:pt idx="157">
                  <c:v>1499.3668685795501</c:v>
                </c:pt>
                <c:pt idx="158">
                  <c:v>1499.4024117425799</c:v>
                </c:pt>
                <c:pt idx="159">
                  <c:v>1499.8569821620999</c:v>
                </c:pt>
                <c:pt idx="160">
                  <c:v>1499.7480998532999</c:v>
                </c:pt>
                <c:pt idx="161">
                  <c:v>1499.44373806005</c:v>
                </c:pt>
                <c:pt idx="162">
                  <c:v>1499.55322878273</c:v>
                </c:pt>
                <c:pt idx="163">
                  <c:v>1499.3146654632701</c:v>
                </c:pt>
                <c:pt idx="164">
                  <c:v>1499.5049454894199</c:v>
                </c:pt>
                <c:pt idx="165">
                  <c:v>1499.6139389488301</c:v>
                </c:pt>
                <c:pt idx="166">
                  <c:v>1499.5014527005201</c:v>
                </c:pt>
                <c:pt idx="167">
                  <c:v>1499.4800126074599</c:v>
                </c:pt>
                <c:pt idx="168">
                  <c:v>1499.78163835039</c:v>
                </c:pt>
                <c:pt idx="169">
                  <c:v>1499.8882992587601</c:v>
                </c:pt>
                <c:pt idx="170">
                  <c:v>1499.8680438403301</c:v>
                </c:pt>
                <c:pt idx="171">
                  <c:v>1499.9038241834801</c:v>
                </c:pt>
                <c:pt idx="172">
                  <c:v>1500.1373546929699</c:v>
                </c:pt>
                <c:pt idx="173">
                  <c:v>1500.1464978967199</c:v>
                </c:pt>
                <c:pt idx="174">
                  <c:v>1499.9232614775301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4-4CBD-BBDA-54C50B733BF2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BRK A*/BRK 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1500.5020502088601</c:v>
                </c:pt>
                <c:pt idx="20">
                  <c:v>1500.46334393449</c:v>
                </c:pt>
                <c:pt idx="21">
                  <c:v>1500.36960902739</c:v>
                </c:pt>
                <c:pt idx="22">
                  <c:v>1500.6400879056</c:v>
                </c:pt>
                <c:pt idx="23">
                  <c:v>1500.6673912399101</c:v>
                </c:pt>
                <c:pt idx="24">
                  <c:v>1500.6456325220299</c:v>
                </c:pt>
                <c:pt idx="25">
                  <c:v>1500.77360335298</c:v>
                </c:pt>
                <c:pt idx="26">
                  <c:v>1500.7451678103801</c:v>
                </c:pt>
                <c:pt idx="27">
                  <c:v>1500.6443313494501</c:v>
                </c:pt>
                <c:pt idx="28">
                  <c:v>1500.22040626273</c:v>
                </c:pt>
                <c:pt idx="29">
                  <c:v>1500.7571877967</c:v>
                </c:pt>
                <c:pt idx="30">
                  <c:v>1500.6542180521401</c:v>
                </c:pt>
                <c:pt idx="31">
                  <c:v>1500.64985249918</c:v>
                </c:pt>
                <c:pt idx="32">
                  <c:v>1500.89139361862</c:v>
                </c:pt>
                <c:pt idx="33">
                  <c:v>1500.86631727597</c:v>
                </c:pt>
                <c:pt idx="34">
                  <c:v>1500.5131033586999</c:v>
                </c:pt>
                <c:pt idx="35">
                  <c:v>1500.3303219760301</c:v>
                </c:pt>
                <c:pt idx="36">
                  <c:v>1500.3282471919699</c:v>
                </c:pt>
                <c:pt idx="37">
                  <c:v>1500.3307633760301</c:v>
                </c:pt>
                <c:pt idx="38">
                  <c:v>1500.41294854733</c:v>
                </c:pt>
                <c:pt idx="39">
                  <c:v>1500.2089871732001</c:v>
                </c:pt>
                <c:pt idx="40">
                  <c:v>1500.26056024631</c:v>
                </c:pt>
                <c:pt idx="41">
                  <c:v>1500.2545380771101</c:v>
                </c:pt>
                <c:pt idx="42">
                  <c:v>1500.0566446760499</c:v>
                </c:pt>
                <c:pt idx="43">
                  <c:v>1499.8795630858799</c:v>
                </c:pt>
                <c:pt idx="44">
                  <c:v>1499.7764542279101</c:v>
                </c:pt>
                <c:pt idx="45">
                  <c:v>1499.58515485099</c:v>
                </c:pt>
                <c:pt idx="46">
                  <c:v>1499.59216658901</c:v>
                </c:pt>
                <c:pt idx="47">
                  <c:v>1499.62654631547</c:v>
                </c:pt>
                <c:pt idx="48">
                  <c:v>1499.6530201221301</c:v>
                </c:pt>
                <c:pt idx="49">
                  <c:v>1499.10851027953</c:v>
                </c:pt>
                <c:pt idx="50">
                  <c:v>1499.08018693892</c:v>
                </c:pt>
                <c:pt idx="51">
                  <c:v>1499.1277782142799</c:v>
                </c:pt>
                <c:pt idx="52">
                  <c:v>1499.1162737045399</c:v>
                </c:pt>
                <c:pt idx="53">
                  <c:v>1499.1229631276699</c:v>
                </c:pt>
                <c:pt idx="54">
                  <c:v>1499.2207066472499</c:v>
                </c:pt>
                <c:pt idx="55">
                  <c:v>1499.20012126397</c:v>
                </c:pt>
                <c:pt idx="56">
                  <c:v>1499.17002651344</c:v>
                </c:pt>
                <c:pt idx="57">
                  <c:v>1499.2025181249001</c:v>
                </c:pt>
                <c:pt idx="58">
                  <c:v>1499.3475919581999</c:v>
                </c:pt>
                <c:pt idx="59">
                  <c:v>1499.44893543025</c:v>
                </c:pt>
                <c:pt idx="60">
                  <c:v>1499.4834361201399</c:v>
                </c:pt>
                <c:pt idx="61">
                  <c:v>1499.3801497971799</c:v>
                </c:pt>
                <c:pt idx="62">
                  <c:v>1499.39397863816</c:v>
                </c:pt>
                <c:pt idx="63">
                  <c:v>1499.66368497494</c:v>
                </c:pt>
                <c:pt idx="64">
                  <c:v>1499.6989224655299</c:v>
                </c:pt>
                <c:pt idx="65">
                  <c:v>1499.9138013842401</c:v>
                </c:pt>
                <c:pt idx="66">
                  <c:v>1499.9580655929401</c:v>
                </c:pt>
                <c:pt idx="67">
                  <c:v>1500.0969888899001</c:v>
                </c:pt>
                <c:pt idx="68">
                  <c:v>1500.1664324676599</c:v>
                </c:pt>
                <c:pt idx="69">
                  <c:v>1500.24797554564</c:v>
                </c:pt>
                <c:pt idx="70">
                  <c:v>1500.30715381139</c:v>
                </c:pt>
                <c:pt idx="71">
                  <c:v>1500.32628746102</c:v>
                </c:pt>
                <c:pt idx="72">
                  <c:v>1500.23558125881</c:v>
                </c:pt>
                <c:pt idx="73">
                  <c:v>1500.16407835123</c:v>
                </c:pt>
                <c:pt idx="74">
                  <c:v>1500.26234062764</c:v>
                </c:pt>
                <c:pt idx="75">
                  <c:v>1500.8643334572801</c:v>
                </c:pt>
                <c:pt idx="76">
                  <c:v>1500.82782127004</c:v>
                </c:pt>
                <c:pt idx="77">
                  <c:v>1500.95352758174</c:v>
                </c:pt>
                <c:pt idx="78">
                  <c:v>1500.78550677257</c:v>
                </c:pt>
                <c:pt idx="79">
                  <c:v>1500.7431323240301</c:v>
                </c:pt>
                <c:pt idx="80">
                  <c:v>1500.80464087836</c:v>
                </c:pt>
                <c:pt idx="81">
                  <c:v>1501.1189062311</c:v>
                </c:pt>
                <c:pt idx="82">
                  <c:v>1501.17308058913</c:v>
                </c:pt>
                <c:pt idx="83">
                  <c:v>1500.97161148495</c:v>
                </c:pt>
                <c:pt idx="84">
                  <c:v>1501.1776450365801</c:v>
                </c:pt>
                <c:pt idx="85">
                  <c:v>1501.2123747139001</c:v>
                </c:pt>
                <c:pt idx="86">
                  <c:v>1501.5861139020701</c:v>
                </c:pt>
                <c:pt idx="87">
                  <c:v>1501.9354427589501</c:v>
                </c:pt>
                <c:pt idx="88">
                  <c:v>1502.0616673189199</c:v>
                </c:pt>
                <c:pt idx="89">
                  <c:v>1502.1214101420501</c:v>
                </c:pt>
                <c:pt idx="90">
                  <c:v>1502.0305962847499</c:v>
                </c:pt>
                <c:pt idx="91">
                  <c:v>1502.14108709932</c:v>
                </c:pt>
                <c:pt idx="92">
                  <c:v>1502.1501521934899</c:v>
                </c:pt>
                <c:pt idx="93">
                  <c:v>1502.0321460735699</c:v>
                </c:pt>
                <c:pt idx="94">
                  <c:v>1501.9213926427301</c:v>
                </c:pt>
                <c:pt idx="95">
                  <c:v>1501.3440868765999</c:v>
                </c:pt>
                <c:pt idx="96">
                  <c:v>1501.1430562369301</c:v>
                </c:pt>
                <c:pt idx="97">
                  <c:v>1500.9644558254899</c:v>
                </c:pt>
                <c:pt idx="98">
                  <c:v>1500.9333363062201</c:v>
                </c:pt>
                <c:pt idx="99">
                  <c:v>1500.8092384315</c:v>
                </c:pt>
                <c:pt idx="100">
                  <c:v>1500.7673717453299</c:v>
                </c:pt>
                <c:pt idx="101">
                  <c:v>1500.5225998727401</c:v>
                </c:pt>
                <c:pt idx="102">
                  <c:v>1500.4104429131501</c:v>
                </c:pt>
                <c:pt idx="103">
                  <c:v>1500.40351031402</c:v>
                </c:pt>
                <c:pt idx="104">
                  <c:v>1500.28961021193</c:v>
                </c:pt>
                <c:pt idx="105">
                  <c:v>1500.21205734605</c:v>
                </c:pt>
                <c:pt idx="106">
                  <c:v>1499.96881141977</c:v>
                </c:pt>
                <c:pt idx="107">
                  <c:v>1499.2118704662601</c:v>
                </c:pt>
                <c:pt idx="108">
                  <c:v>1498.8534319304899</c:v>
                </c:pt>
                <c:pt idx="109">
                  <c:v>1498.89713828144</c:v>
                </c:pt>
                <c:pt idx="110">
                  <c:v>1498.7609038723699</c:v>
                </c:pt>
                <c:pt idx="111">
                  <c:v>1498.4669082241601</c:v>
                </c:pt>
                <c:pt idx="112">
                  <c:v>1498.36611330137</c:v>
                </c:pt>
                <c:pt idx="113">
                  <c:v>1498.6252821543701</c:v>
                </c:pt>
                <c:pt idx="114">
                  <c:v>1498.67332266158</c:v>
                </c:pt>
                <c:pt idx="115">
                  <c:v>1498.6670737320301</c:v>
                </c:pt>
                <c:pt idx="116">
                  <c:v>1498.97163552489</c:v>
                </c:pt>
                <c:pt idx="117">
                  <c:v>1498.9235786152999</c:v>
                </c:pt>
                <c:pt idx="118">
                  <c:v>1499.08894697294</c:v>
                </c:pt>
                <c:pt idx="119">
                  <c:v>1499.3533396064699</c:v>
                </c:pt>
                <c:pt idx="120">
                  <c:v>1499.1167966604401</c:v>
                </c:pt>
                <c:pt idx="121">
                  <c:v>1499.15381188526</c:v>
                </c:pt>
                <c:pt idx="122">
                  <c:v>1499.00962485118</c:v>
                </c:pt>
                <c:pt idx="123">
                  <c:v>1499.15452949471</c:v>
                </c:pt>
                <c:pt idx="124">
                  <c:v>1499.0786343411301</c:v>
                </c:pt>
                <c:pt idx="125">
                  <c:v>1498.7457414098001</c:v>
                </c:pt>
                <c:pt idx="126">
                  <c:v>1498.6069464166601</c:v>
                </c:pt>
                <c:pt idx="127">
                  <c:v>1499.6115164698799</c:v>
                </c:pt>
                <c:pt idx="128">
                  <c:v>1499.5788482905</c:v>
                </c:pt>
                <c:pt idx="129">
                  <c:v>1499.3433162434301</c:v>
                </c:pt>
                <c:pt idx="130">
                  <c:v>1499.51710127418</c:v>
                </c:pt>
                <c:pt idx="131">
                  <c:v>1499.73566360734</c:v>
                </c:pt>
                <c:pt idx="132">
                  <c:v>1499.9272418252399</c:v>
                </c:pt>
                <c:pt idx="133">
                  <c:v>1499.81153528359</c:v>
                </c:pt>
                <c:pt idx="134">
                  <c:v>1499.73568494353</c:v>
                </c:pt>
                <c:pt idx="135">
                  <c:v>1499.72625716005</c:v>
                </c:pt>
                <c:pt idx="136">
                  <c:v>1499.4896921182401</c:v>
                </c:pt>
                <c:pt idx="137">
                  <c:v>1499.49685620082</c:v>
                </c:pt>
                <c:pt idx="138">
                  <c:v>1499.4640480215601</c:v>
                </c:pt>
                <c:pt idx="139">
                  <c:v>1499.55450586391</c:v>
                </c:pt>
                <c:pt idx="140">
                  <c:v>1499.84731142032</c:v>
                </c:pt>
                <c:pt idx="141">
                  <c:v>1499.8435223592801</c:v>
                </c:pt>
                <c:pt idx="142">
                  <c:v>1499.96061798556</c:v>
                </c:pt>
                <c:pt idx="143">
                  <c:v>1499.8676530294399</c:v>
                </c:pt>
                <c:pt idx="144">
                  <c:v>1499.8071168475501</c:v>
                </c:pt>
                <c:pt idx="145">
                  <c:v>1499.94812761504</c:v>
                </c:pt>
                <c:pt idx="146">
                  <c:v>1499.8002215015899</c:v>
                </c:pt>
                <c:pt idx="147">
                  <c:v>1499.1315387536399</c:v>
                </c:pt>
                <c:pt idx="148">
                  <c:v>1499.2607949344399</c:v>
                </c:pt>
                <c:pt idx="149">
                  <c:v>1499.0928541558901</c:v>
                </c:pt>
                <c:pt idx="150">
                  <c:v>1499.1058920103501</c:v>
                </c:pt>
                <c:pt idx="151">
                  <c:v>1499.1103657838801</c:v>
                </c:pt>
                <c:pt idx="152">
                  <c:v>1498.9452640106099</c:v>
                </c:pt>
                <c:pt idx="153">
                  <c:v>1499.2232162246501</c:v>
                </c:pt>
                <c:pt idx="154">
                  <c:v>1499.21327187064</c:v>
                </c:pt>
                <c:pt idx="155">
                  <c:v>1499.2874936998801</c:v>
                </c:pt>
                <c:pt idx="156">
                  <c:v>1499.3008940065399</c:v>
                </c:pt>
                <c:pt idx="157">
                  <c:v>1499.5113445760801</c:v>
                </c:pt>
                <c:pt idx="158">
                  <c:v>1499.4054982089899</c:v>
                </c:pt>
                <c:pt idx="159">
                  <c:v>1499.1191357790899</c:v>
                </c:pt>
                <c:pt idx="160">
                  <c:v>1499.0279233276999</c:v>
                </c:pt>
                <c:pt idx="161">
                  <c:v>1498.9705626579</c:v>
                </c:pt>
                <c:pt idx="162">
                  <c:v>1498.9835379527401</c:v>
                </c:pt>
                <c:pt idx="163">
                  <c:v>1498.9764548120299</c:v>
                </c:pt>
                <c:pt idx="164">
                  <c:v>1499.0938729015299</c:v>
                </c:pt>
                <c:pt idx="165">
                  <c:v>1499.2961505415699</c:v>
                </c:pt>
                <c:pt idx="166">
                  <c:v>1499.30430788429</c:v>
                </c:pt>
                <c:pt idx="167">
                  <c:v>1499.4234405935099</c:v>
                </c:pt>
                <c:pt idx="168">
                  <c:v>1499.5920250464901</c:v>
                </c:pt>
                <c:pt idx="169">
                  <c:v>1499.87264071043</c:v>
                </c:pt>
                <c:pt idx="170">
                  <c:v>1499.80807184682</c:v>
                </c:pt>
                <c:pt idx="171">
                  <c:v>1499.6737811217699</c:v>
                </c:pt>
                <c:pt idx="172">
                  <c:v>1499.8452917378499</c:v>
                </c:pt>
                <c:pt idx="173">
                  <c:v>1499.7305816799901</c:v>
                </c:pt>
                <c:pt idx="174">
                  <c:v>1499.7141034834799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4-4CBD-BBDA-54C50B73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BRK B x avg / BRK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-6.6261687636965402E-4</c:v>
                </c:pt>
                <c:pt idx="2">
                  <c:v>7.3413405638069504E-4</c:v>
                </c:pt>
                <c:pt idx="3">
                  <c:v>-1.13556453416822E-3</c:v>
                </c:pt>
                <c:pt idx="4">
                  <c:v>-8.9431306368542302E-4</c:v>
                </c:pt>
                <c:pt idx="5">
                  <c:v>7.5410871256861303E-4</c:v>
                </c:pt>
                <c:pt idx="6">
                  <c:v>1.5958055283641701E-4</c:v>
                </c:pt>
                <c:pt idx="7">
                  <c:v>7.1984032725208298E-4</c:v>
                </c:pt>
                <c:pt idx="8">
                  <c:v>-5.04074776854608E-3</c:v>
                </c:pt>
                <c:pt idx="9">
                  <c:v>2.89368208512983E-4</c:v>
                </c:pt>
                <c:pt idx="10">
                  <c:v>-1.13512916116752E-3</c:v>
                </c:pt>
                <c:pt idx="11">
                  <c:v>7.6943089295828304E-4</c:v>
                </c:pt>
                <c:pt idx="12">
                  <c:v>2.2632332591281902E-3</c:v>
                </c:pt>
                <c:pt idx="13">
                  <c:v>7.0215320096240303E-4</c:v>
                </c:pt>
                <c:pt idx="14">
                  <c:v>-3.4762970636845799E-3</c:v>
                </c:pt>
                <c:pt idx="15">
                  <c:v>-1.7082736509259099E-3</c:v>
                </c:pt>
                <c:pt idx="16">
                  <c:v>-1.4307737649693301E-3</c:v>
                </c:pt>
                <c:pt idx="17">
                  <c:v>1.00111737710037E-3</c:v>
                </c:pt>
                <c:pt idx="18">
                  <c:v>1.62400093551608E-3</c:v>
                </c:pt>
                <c:pt idx="19">
                  <c:v>-2.39693766337926E-3</c:v>
                </c:pt>
                <c:pt idx="20">
                  <c:v>2.0336967640956498E-3</c:v>
                </c:pt>
                <c:pt idx="21">
                  <c:v>5.8717751374924999E-4</c:v>
                </c:pt>
                <c:pt idx="22">
                  <c:v>-2.8685258947662002E-3</c:v>
                </c:pt>
                <c:pt idx="23">
                  <c:v>-1.4991421960649099E-3</c:v>
                </c:pt>
                <c:pt idx="24">
                  <c:v>-6.0440420596869805E-4</c:v>
                </c:pt>
                <c:pt idx="25">
                  <c:v>-9.52058454969061E-4</c:v>
                </c:pt>
                <c:pt idx="26">
                  <c:v>5.3886655094830601E-4</c:v>
                </c:pt>
                <c:pt idx="27">
                  <c:v>2.0662467678844898E-3</c:v>
                </c:pt>
                <c:pt idx="28">
                  <c:v>5.9923408926590004E-4</c:v>
                </c:pt>
                <c:pt idx="29">
                  <c:v>-6.8445288540026896E-3</c:v>
                </c:pt>
                <c:pt idx="30">
                  <c:v>2.3723147523188601E-4</c:v>
                </c:pt>
                <c:pt idx="31">
                  <c:v>8.2768676374612798E-4</c:v>
                </c:pt>
                <c:pt idx="32">
                  <c:v>-9.5952411642420503E-4</c:v>
                </c:pt>
                <c:pt idx="33">
                  <c:v>1.0368067470973401E-3</c:v>
                </c:pt>
                <c:pt idx="34">
                  <c:v>1.2280877750506099E-3</c:v>
                </c:pt>
                <c:pt idx="35">
                  <c:v>7.2769979226973999E-4</c:v>
                </c:pt>
                <c:pt idx="36">
                  <c:v>-1.4031482010657501E-3</c:v>
                </c:pt>
                <c:pt idx="37">
                  <c:v>9.6753406539135795E-4</c:v>
                </c:pt>
                <c:pt idx="38">
                  <c:v>5.2698193337967795E-4</c:v>
                </c:pt>
                <c:pt idx="39">
                  <c:v>3.1981675455518797E-4</c:v>
                </c:pt>
                <c:pt idx="40">
                  <c:v>1.3448695833321301E-3</c:v>
                </c:pt>
                <c:pt idx="41">
                  <c:v>6.6752624734490898E-4</c:v>
                </c:pt>
                <c:pt idx="42">
                  <c:v>-2.33947532248529E-4</c:v>
                </c:pt>
                <c:pt idx="43">
                  <c:v>8.6127314321627604E-4</c:v>
                </c:pt>
                <c:pt idx="44">
                  <c:v>7.7054180738521405E-4</c:v>
                </c:pt>
                <c:pt idx="45">
                  <c:v>1.59951254726235E-3</c:v>
                </c:pt>
                <c:pt idx="46">
                  <c:v>4.4532748630970998E-4</c:v>
                </c:pt>
                <c:pt idx="47">
                  <c:v>1.60699199960473E-3</c:v>
                </c:pt>
                <c:pt idx="48">
                  <c:v>2.4608866977457997E-4</c:v>
                </c:pt>
                <c:pt idx="49">
                  <c:v>3.9245099269067502E-4</c:v>
                </c:pt>
                <c:pt idx="50">
                  <c:v>6.1504993248083896E-4</c:v>
                </c:pt>
                <c:pt idx="51">
                  <c:v>1.92790813017837E-4</c:v>
                </c:pt>
                <c:pt idx="52">
                  <c:v>-8.0626076861352303E-4</c:v>
                </c:pt>
                <c:pt idx="53">
                  <c:v>9.4752284009972396E-4</c:v>
                </c:pt>
                <c:pt idx="54">
                  <c:v>-7.5954744648104298E-5</c:v>
                </c:pt>
                <c:pt idx="55">
                  <c:v>1.0024185246452399E-3</c:v>
                </c:pt>
                <c:pt idx="56">
                  <c:v>-1.0023534510723801E-3</c:v>
                </c:pt>
                <c:pt idx="57">
                  <c:v>5.3397235267658798E-4</c:v>
                </c:pt>
                <c:pt idx="58">
                  <c:v>-1.4065513407479E-3</c:v>
                </c:pt>
                <c:pt idx="59">
                  <c:v>-1.0309953482023999E-3</c:v>
                </c:pt>
                <c:pt idx="60">
                  <c:v>8.8433158616797302E-4</c:v>
                </c:pt>
                <c:pt idx="61">
                  <c:v>2.0465945402303302E-3</c:v>
                </c:pt>
                <c:pt idx="62">
                  <c:v>-4.1827827810064398E-4</c:v>
                </c:pt>
                <c:pt idx="63">
                  <c:v>-2.73157129819562E-3</c:v>
                </c:pt>
                <c:pt idx="64">
                  <c:v>3.0044082669620202E-4</c:v>
                </c:pt>
                <c:pt idx="65">
                  <c:v>-1.26611461543479E-3</c:v>
                </c:pt>
                <c:pt idx="66">
                  <c:v>-1.4497083417480401E-4</c:v>
                </c:pt>
                <c:pt idx="67">
                  <c:v>-2.4664223963869001E-4</c:v>
                </c:pt>
                <c:pt idx="68">
                  <c:v>-6.7965670632540295E-4</c:v>
                </c:pt>
                <c:pt idx="69">
                  <c:v>-6.9466299076262697E-4</c:v>
                </c:pt>
                <c:pt idx="70">
                  <c:v>-1.7419459706436401E-4</c:v>
                </c:pt>
                <c:pt idx="71">
                  <c:v>-6.2349901957743095E-5</c:v>
                </c:pt>
                <c:pt idx="72">
                  <c:v>4.0295278801214402E-4</c:v>
                </c:pt>
                <c:pt idx="73">
                  <c:v>1.9022870734761101E-3</c:v>
                </c:pt>
                <c:pt idx="74">
                  <c:v>-1.3852063957637899E-3</c:v>
                </c:pt>
                <c:pt idx="75">
                  <c:v>-7.0003701373825703E-3</c:v>
                </c:pt>
                <c:pt idx="76">
                  <c:v>-5.1587703216871797E-4</c:v>
                </c:pt>
                <c:pt idx="77">
                  <c:v>-1.1416598687428801E-3</c:v>
                </c:pt>
                <c:pt idx="78">
                  <c:v>8.3316025332366098E-4</c:v>
                </c:pt>
                <c:pt idx="79">
                  <c:v>-4.6640620267948701E-4</c:v>
                </c:pt>
                <c:pt idx="80">
                  <c:v>6.3800537702836797E-5</c:v>
                </c:pt>
                <c:pt idx="81">
                  <c:v>-2.1435476417689401E-3</c:v>
                </c:pt>
                <c:pt idx="82">
                  <c:v>-1.1400651880016199E-3</c:v>
                </c:pt>
                <c:pt idx="83">
                  <c:v>-4.8957411636932798E-5</c:v>
                </c:pt>
                <c:pt idx="84">
                  <c:v>-2.4438239436297801E-3</c:v>
                </c:pt>
                <c:pt idx="85">
                  <c:v>-1.72850000133262E-3</c:v>
                </c:pt>
                <c:pt idx="86">
                  <c:v>-5.1152362246471702E-3</c:v>
                </c:pt>
                <c:pt idx="87">
                  <c:v>-4.8925623269205796E-3</c:v>
                </c:pt>
                <c:pt idx="88">
                  <c:v>-2.3601522127264601E-3</c:v>
                </c:pt>
                <c:pt idx="89">
                  <c:v>-1.4903914275040901E-3</c:v>
                </c:pt>
                <c:pt idx="90">
                  <c:v>1.0372209059912999E-3</c:v>
                </c:pt>
                <c:pt idx="91">
                  <c:v>-1.5344353715266699E-3</c:v>
                </c:pt>
                <c:pt idx="92">
                  <c:v>2.8203931630029302E-4</c:v>
                </c:pt>
                <c:pt idx="93">
                  <c:v>3.4799959211719899E-3</c:v>
                </c:pt>
                <c:pt idx="94">
                  <c:v>9.0600911318717599E-5</c:v>
                </c:pt>
                <c:pt idx="95">
                  <c:v>6.7297053180910397E-4</c:v>
                </c:pt>
                <c:pt idx="96">
                  <c:v>2.1668362095675002E-3</c:v>
                </c:pt>
                <c:pt idx="97">
                  <c:v>1.23987698949801E-3</c:v>
                </c:pt>
                <c:pt idx="98">
                  <c:v>1.24853351597634E-3</c:v>
                </c:pt>
                <c:pt idx="99">
                  <c:v>1.1888865220535301E-3</c:v>
                </c:pt>
                <c:pt idx="100">
                  <c:v>6.2223367218500398E-4</c:v>
                </c:pt>
                <c:pt idx="101">
                  <c:v>1.1185154932962199E-3</c:v>
                </c:pt>
                <c:pt idx="102">
                  <c:v>3.5482503636479E-4</c:v>
                </c:pt>
                <c:pt idx="103">
                  <c:v>4.3480159656066298E-5</c:v>
                </c:pt>
                <c:pt idx="104">
                  <c:v>-9.2766200433184196E-4</c:v>
                </c:pt>
                <c:pt idx="105">
                  <c:v>-6.95679011171481E-4</c:v>
                </c:pt>
                <c:pt idx="106">
                  <c:v>-1.88317686805324E-3</c:v>
                </c:pt>
                <c:pt idx="107">
                  <c:v>5.2018478262841001E-3</c:v>
                </c:pt>
                <c:pt idx="108">
                  <c:v>2.4193289978096401E-3</c:v>
                </c:pt>
                <c:pt idx="109">
                  <c:v>-2.07212560410883E-3</c:v>
                </c:pt>
                <c:pt idx="110">
                  <c:v>2.8572823945451401E-3</c:v>
                </c:pt>
                <c:pt idx="111">
                  <c:v>2.3873105218511601E-3</c:v>
                </c:pt>
                <c:pt idx="112">
                  <c:v>1.62730126819657E-3</c:v>
                </c:pt>
                <c:pt idx="113">
                  <c:v>1.8244728518539399E-5</c:v>
                </c:pt>
                <c:pt idx="114">
                  <c:v>-5.4981407619873203E-4</c:v>
                </c:pt>
                <c:pt idx="115">
                  <c:v>7.5635201759040001E-4</c:v>
                </c:pt>
                <c:pt idx="116">
                  <c:v>-1.89467679266951E-3</c:v>
                </c:pt>
                <c:pt idx="117">
                  <c:v>1.8816586340568799E-3</c:v>
                </c:pt>
                <c:pt idx="118">
                  <c:v>-9.5677475945458296E-4</c:v>
                </c:pt>
                <c:pt idx="119">
                  <c:v>-2.3344489622675502E-3</c:v>
                </c:pt>
                <c:pt idx="120">
                  <c:v>3.7832015032565201E-3</c:v>
                </c:pt>
                <c:pt idx="121">
                  <c:v>6.2453191430354704E-4</c:v>
                </c:pt>
                <c:pt idx="122">
                  <c:v>2.2799188401411699E-3</c:v>
                </c:pt>
                <c:pt idx="123">
                  <c:v>-1.88686769056811E-3</c:v>
                </c:pt>
                <c:pt idx="124">
                  <c:v>8.3881180191431998E-5</c:v>
                </c:pt>
                <c:pt idx="125">
                  <c:v>3.7498253702773899E-3</c:v>
                </c:pt>
                <c:pt idx="126">
                  <c:v>-3.4287209901805402E-5</c:v>
                </c:pt>
                <c:pt idx="127">
                  <c:v>-8.1728957063751193E-3</c:v>
                </c:pt>
                <c:pt idx="128">
                  <c:v>2.8560701282750599E-3</c:v>
                </c:pt>
                <c:pt idx="129">
                  <c:v>1.0668298933446099E-3</c:v>
                </c:pt>
                <c:pt idx="130">
                  <c:v>5.3613475003293296E-4</c:v>
                </c:pt>
                <c:pt idx="131">
                  <c:v>-5.2966090483191604E-4</c:v>
                </c:pt>
                <c:pt idx="132">
                  <c:v>-9.2805511490630399E-4</c:v>
                </c:pt>
                <c:pt idx="133">
                  <c:v>1.5622710585789399E-3</c:v>
                </c:pt>
                <c:pt idx="134">
                  <c:v>4.6151377351868399E-4</c:v>
                </c:pt>
                <c:pt idx="135">
                  <c:v>8.8216313681277697E-4</c:v>
                </c:pt>
                <c:pt idx="136">
                  <c:v>1.2586276208072799E-3</c:v>
                </c:pt>
                <c:pt idx="137">
                  <c:v>1.78595892358149E-3</c:v>
                </c:pt>
                <c:pt idx="138">
                  <c:v>-5.1964018906343399E-4</c:v>
                </c:pt>
                <c:pt idx="139">
                  <c:v>-3.5370590539432001E-3</c:v>
                </c:pt>
                <c:pt idx="140">
                  <c:v>-1.2814552414127501E-4</c:v>
                </c:pt>
                <c:pt idx="141">
                  <c:v>6.75087301237303E-4</c:v>
                </c:pt>
                <c:pt idx="142">
                  <c:v>7.1624969496250602E-4</c:v>
                </c:pt>
                <c:pt idx="143">
                  <c:v>-6.4886313917771196E-4</c:v>
                </c:pt>
                <c:pt idx="144">
                  <c:v>8.9145165444537498E-4</c:v>
                </c:pt>
                <c:pt idx="145">
                  <c:v>1.86433231021388E-3</c:v>
                </c:pt>
                <c:pt idx="146">
                  <c:v>1.9397414158785901E-3</c:v>
                </c:pt>
                <c:pt idx="147">
                  <c:v>7.09942633359662E-4</c:v>
                </c:pt>
                <c:pt idx="148">
                  <c:v>1.1291578627338099E-3</c:v>
                </c:pt>
                <c:pt idx="149">
                  <c:v>3.3110235847879201E-3</c:v>
                </c:pt>
                <c:pt idx="150">
                  <c:v>3.6221262662509198E-4</c:v>
                </c:pt>
                <c:pt idx="151">
                  <c:v>-5.8927989953475696E-4</c:v>
                </c:pt>
                <c:pt idx="152">
                  <c:v>1.2737574501134801E-3</c:v>
                </c:pt>
                <c:pt idx="153">
                  <c:v>-2.1428077904786002E-3</c:v>
                </c:pt>
                <c:pt idx="154">
                  <c:v>5.9417971538573895E-4</c:v>
                </c:pt>
                <c:pt idx="155">
                  <c:v>-1.07878357588969E-4</c:v>
                </c:pt>
                <c:pt idx="156">
                  <c:v>1.0797417109148599E-3</c:v>
                </c:pt>
                <c:pt idx="157">
                  <c:v>-1.02121713796958E-3</c:v>
                </c:pt>
                <c:pt idx="158">
                  <c:v>8.9195573330974804E-4</c:v>
                </c:pt>
                <c:pt idx="159">
                  <c:v>2.7501263186245601E-4</c:v>
                </c:pt>
                <c:pt idx="160">
                  <c:v>1.08864634354001E-3</c:v>
                </c:pt>
                <c:pt idx="161">
                  <c:v>1.4407319913484901E-3</c:v>
                </c:pt>
                <c:pt idx="162">
                  <c:v>5.43130855164502E-4</c:v>
                </c:pt>
                <c:pt idx="163">
                  <c:v>-5.5447483240858098E-4</c:v>
                </c:pt>
                <c:pt idx="164">
                  <c:v>-6.7434635474020405E-4</c:v>
                </c:pt>
                <c:pt idx="165">
                  <c:v>-8.3418412535193399E-4</c:v>
                </c:pt>
                <c:pt idx="166">
                  <c:v>1.83076786762446E-3</c:v>
                </c:pt>
                <c:pt idx="167">
                  <c:v>-8.7841398454988604E-4</c:v>
                </c:pt>
                <c:pt idx="168">
                  <c:v>-1.1187231702224599E-3</c:v>
                </c:pt>
                <c:pt idx="169">
                  <c:v>-4.3602721049746198E-4</c:v>
                </c:pt>
                <c:pt idx="170">
                  <c:v>1.22384332684761E-3</c:v>
                </c:pt>
                <c:pt idx="171">
                  <c:v>1.2018727952234399E-3</c:v>
                </c:pt>
                <c:pt idx="172">
                  <c:v>-1.01342636859159E-3</c:v>
                </c:pt>
                <c:pt idx="173">
                  <c:v>-6.1539596867645895E-4</c:v>
                </c:pt>
                <c:pt idx="174">
                  <c:v>8.1405129563985005E-4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0-4C0B-BD81-65007A5CFE8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BRK B x 10 dma / BRK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-7.7763913149118296E-4</c:v>
                </c:pt>
                <c:pt idx="11">
                  <c:v>1.3919212939016801E-3</c:v>
                </c:pt>
                <c:pt idx="12">
                  <c:v>2.74260538901391E-3</c:v>
                </c:pt>
                <c:pt idx="13">
                  <c:v>1.0289059153595799E-3</c:v>
                </c:pt>
                <c:pt idx="14">
                  <c:v>-3.33331281061849E-3</c:v>
                </c:pt>
                <c:pt idx="15">
                  <c:v>-1.30659652706331E-3</c:v>
                </c:pt>
                <c:pt idx="16">
                  <c:v>-7.8287009040914997E-4</c:v>
                </c:pt>
                <c:pt idx="17">
                  <c:v>1.80804189846795E-3</c:v>
                </c:pt>
                <c:pt idx="18">
                  <c:v>2.4028442186828799E-3</c:v>
                </c:pt>
                <c:pt idx="19">
                  <c:v>-2.2854128892361102E-3</c:v>
                </c:pt>
                <c:pt idx="20">
                  <c:v>2.4140693026102498E-3</c:v>
                </c:pt>
                <c:pt idx="21">
                  <c:v>6.50879987214888E-4</c:v>
                </c:pt>
                <c:pt idx="22">
                  <c:v>-2.7866117674938298E-3</c:v>
                </c:pt>
                <c:pt idx="23">
                  <c:v>-9.0406999136051199E-4</c:v>
                </c:pt>
                <c:pt idx="24">
                  <c:v>2.10730099126955E-4</c:v>
                </c:pt>
                <c:pt idx="25">
                  <c:v>-4.24506967083542E-4</c:v>
                </c:pt>
                <c:pt idx="26">
                  <c:v>9.9073293409273006E-4</c:v>
                </c:pt>
                <c:pt idx="27">
                  <c:v>2.32113085246086E-3</c:v>
                </c:pt>
                <c:pt idx="28">
                  <c:v>7.4778991226248604E-4</c:v>
                </c:pt>
                <c:pt idx="29">
                  <c:v>-6.5936306361157396E-3</c:v>
                </c:pt>
                <c:pt idx="30">
                  <c:v>9.3473721299028604E-4</c:v>
                </c:pt>
                <c:pt idx="31">
                  <c:v>1.7044939939598999E-3</c:v>
                </c:pt>
                <c:pt idx="32">
                  <c:v>-1.0673002732471101E-4</c:v>
                </c:pt>
                <c:pt idx="33">
                  <c:v>1.6984796701526199E-3</c:v>
                </c:pt>
                <c:pt idx="34">
                  <c:v>1.63624275333057E-3</c:v>
                </c:pt>
                <c:pt idx="35">
                  <c:v>9.5272067014372404E-4</c:v>
                </c:pt>
                <c:pt idx="36">
                  <c:v>-1.34609832041735E-3</c:v>
                </c:pt>
                <c:pt idx="37">
                  <c:v>1.2188394398277499E-3</c:v>
                </c:pt>
                <c:pt idx="38">
                  <c:v>8.8795846721884098E-4</c:v>
                </c:pt>
                <c:pt idx="39">
                  <c:v>6.8801180430484396E-4</c:v>
                </c:pt>
                <c:pt idx="40">
                  <c:v>9.9429380134850192E-4</c:v>
                </c:pt>
                <c:pt idx="41">
                  <c:v>2.0622929744741701E-4</c:v>
                </c:pt>
                <c:pt idx="42">
                  <c:v>-6.7923314356314402E-4</c:v>
                </c:pt>
                <c:pt idx="43">
                  <c:v>3.43351587923212E-4</c:v>
                </c:pt>
                <c:pt idx="44">
                  <c:v>2.7016589263196297E-4</c:v>
                </c:pt>
                <c:pt idx="45">
                  <c:v>1.14486736095593E-3</c:v>
                </c:pt>
                <c:pt idx="46">
                  <c:v>-9.6440987160233797E-5</c:v>
                </c:pt>
                <c:pt idx="47">
                  <c:v>8.8017004339549499E-4</c:v>
                </c:pt>
                <c:pt idx="48">
                  <c:v>-5.4464529546521801E-4</c:v>
                </c:pt>
                <c:pt idx="49">
                  <c:v>-3.7018268495002399E-4</c:v>
                </c:pt>
                <c:pt idx="50">
                  <c:v>-1.5485014855579901E-4</c:v>
                </c:pt>
                <c:pt idx="51">
                  <c:v>-5.0414529220753801E-4</c:v>
                </c:pt>
                <c:pt idx="52">
                  <c:v>-1.4557117908285701E-3</c:v>
                </c:pt>
                <c:pt idx="53">
                  <c:v>3.5536847516629298E-4</c:v>
                </c:pt>
                <c:pt idx="54">
                  <c:v>-6.7673142377333096E-4</c:v>
                </c:pt>
                <c:pt idx="55">
                  <c:v>4.8630937883552901E-4</c:v>
                </c:pt>
                <c:pt idx="56">
                  <c:v>-1.45880181839396E-3</c:v>
                </c:pt>
                <c:pt idx="57">
                  <c:v>2.2238803650341101E-4</c:v>
                </c:pt>
                <c:pt idx="58">
                  <c:v>-1.61092083513915E-3</c:v>
                </c:pt>
                <c:pt idx="59">
                  <c:v>-1.0699847816015701E-3</c:v>
                </c:pt>
                <c:pt idx="60">
                  <c:v>9.8772766733550791E-4</c:v>
                </c:pt>
                <c:pt idx="61">
                  <c:v>2.1230850562643502E-3</c:v>
                </c:pt>
                <c:pt idx="62">
                  <c:v>-5.2696368899240195E-4</c:v>
                </c:pt>
                <c:pt idx="63">
                  <c:v>-2.8790836940144199E-3</c:v>
                </c:pt>
                <c:pt idx="64">
                  <c:v>5.2115290363398197E-4</c:v>
                </c:pt>
                <c:pt idx="65">
                  <c:v>-1.08303027357093E-3</c:v>
                </c:pt>
                <c:pt idx="66">
                  <c:v>2.64929522814761E-4</c:v>
                </c:pt>
                <c:pt idx="67">
                  <c:v>7.7502134294915497E-5</c:v>
                </c:pt>
                <c:pt idx="68">
                  <c:v>-2.7749042431389302E-4</c:v>
                </c:pt>
                <c:pt idx="69">
                  <c:v>-3.6523542354507802E-4</c:v>
                </c:pt>
                <c:pt idx="70">
                  <c:v>1.2158122322958101E-4</c:v>
                </c:pt>
                <c:pt idx="71">
                  <c:v>3.3920407573149401E-4</c:v>
                </c:pt>
                <c:pt idx="72">
                  <c:v>1.0150853618502301E-3</c:v>
                </c:pt>
                <c:pt idx="73">
                  <c:v>2.4323427961239E-3</c:v>
                </c:pt>
                <c:pt idx="74">
                  <c:v>-1.3185908186744699E-3</c:v>
                </c:pt>
                <c:pt idx="75">
                  <c:v>-6.7651238203956096E-3</c:v>
                </c:pt>
                <c:pt idx="76">
                  <c:v>2.94869566285574E-4</c:v>
                </c:pt>
                <c:pt idx="77">
                  <c:v>-2.93841148643831E-4</c:v>
                </c:pt>
                <c:pt idx="78">
                  <c:v>1.7704629830364799E-3</c:v>
                </c:pt>
                <c:pt idx="79">
                  <c:v>3.1975672574167003E-4</c:v>
                </c:pt>
                <c:pt idx="80">
                  <c:v>8.2714221998756701E-4</c:v>
                </c:pt>
                <c:pt idx="81">
                  <c:v>-1.4039889082972201E-3</c:v>
                </c:pt>
                <c:pt idx="82">
                  <c:v>-1.9233267024509399E-4</c:v>
                </c:pt>
                <c:pt idx="83">
                  <c:v>1.05297568742688E-3</c:v>
                </c:pt>
                <c:pt idx="84">
                  <c:v>-1.1471807502383799E-3</c:v>
                </c:pt>
                <c:pt idx="85">
                  <c:v>-3.2593522887392899E-4</c:v>
                </c:pt>
                <c:pt idx="86">
                  <c:v>-4.2415626906793097E-3</c:v>
                </c:pt>
                <c:pt idx="87">
                  <c:v>-3.5581646076719401E-3</c:v>
                </c:pt>
                <c:pt idx="88">
                  <c:v>-6.5010289259121801E-4</c:v>
                </c:pt>
                <c:pt idx="89">
                  <c:v>5.3863627472432597E-4</c:v>
                </c:pt>
                <c:pt idx="90">
                  <c:v>3.1685343774525902E-3</c:v>
                </c:pt>
                <c:pt idx="91">
                  <c:v>4.9979205106651396E-4</c:v>
                </c:pt>
                <c:pt idx="92">
                  <c:v>2.2553655473863598E-3</c:v>
                </c:pt>
                <c:pt idx="93">
                  <c:v>5.3113210561816001E-3</c:v>
                </c:pt>
                <c:pt idx="94">
                  <c:v>1.5702181363278899E-3</c:v>
                </c:pt>
                <c:pt idx="95">
                  <c:v>1.8991898838704301E-3</c:v>
                </c:pt>
                <c:pt idx="96">
                  <c:v>3.1530473242315799E-3</c:v>
                </c:pt>
                <c:pt idx="97">
                  <c:v>1.4972582752500901E-3</c:v>
                </c:pt>
                <c:pt idx="98">
                  <c:v>8.9151829353317997E-4</c:v>
                </c:pt>
                <c:pt idx="99">
                  <c:v>4.7060772282961501E-4</c:v>
                </c:pt>
                <c:pt idx="100">
                  <c:v>-3.64241902571114E-4</c:v>
                </c:pt>
                <c:pt idx="101">
                  <c:v>1.7354428626384201E-4</c:v>
                </c:pt>
                <c:pt idx="102">
                  <c:v>-8.55782656644253E-4</c:v>
                </c:pt>
                <c:pt idx="103">
                  <c:v>-1.17441262855852E-3</c:v>
                </c:pt>
                <c:pt idx="104">
                  <c:v>-1.8021488604208699E-3</c:v>
                </c:pt>
                <c:pt idx="105">
                  <c:v>-1.46821302033358E-3</c:v>
                </c:pt>
                <c:pt idx="106">
                  <c:v>-2.5187479631838001E-3</c:v>
                </c:pt>
                <c:pt idx="107">
                  <c:v>4.9713962591447902E-3</c:v>
                </c:pt>
                <c:pt idx="108">
                  <c:v>1.7937850722355799E-3</c:v>
                </c:pt>
                <c:pt idx="109">
                  <c:v>-2.81461453034762E-3</c:v>
                </c:pt>
                <c:pt idx="110">
                  <c:v>2.4412279079793998E-3</c:v>
                </c:pt>
                <c:pt idx="111">
                  <c:v>1.74802186016251E-3</c:v>
                </c:pt>
                <c:pt idx="112">
                  <c:v>8.6126628063225405E-4</c:v>
                </c:pt>
                <c:pt idx="113">
                  <c:v>-8.75017352758061E-4</c:v>
                </c:pt>
                <c:pt idx="114">
                  <c:v>-1.44055044030946E-3</c:v>
                </c:pt>
                <c:pt idx="115">
                  <c:v>-1.7223147529551899E-4</c:v>
                </c:pt>
                <c:pt idx="116">
                  <c:v>-2.9686044499963298E-3</c:v>
                </c:pt>
                <c:pt idx="117">
                  <c:v>8.0888438083943903E-4</c:v>
                </c:pt>
                <c:pt idx="118">
                  <c:v>-1.69840351264031E-3</c:v>
                </c:pt>
                <c:pt idx="119">
                  <c:v>-2.7385206633427799E-3</c:v>
                </c:pt>
                <c:pt idx="120">
                  <c:v>3.4054302785736399E-3</c:v>
                </c:pt>
                <c:pt idx="121">
                  <c:v>1.5443656225431899E-4</c:v>
                </c:pt>
                <c:pt idx="122">
                  <c:v>1.9859033700410701E-3</c:v>
                </c:pt>
                <c:pt idx="123">
                  <c:v>-2.2460388233683402E-3</c:v>
                </c:pt>
                <c:pt idx="124">
                  <c:v>-8.4550291398364499E-5</c:v>
                </c:pt>
                <c:pt idx="125">
                  <c:v>3.5179969209404201E-3</c:v>
                </c:pt>
                <c:pt idx="126">
                  <c:v>-5.6490329083884005E-4</c:v>
                </c:pt>
                <c:pt idx="127">
                  <c:v>-8.8898464862114009E-3</c:v>
                </c:pt>
                <c:pt idx="128">
                  <c:v>3.1479611334578501E-3</c:v>
                </c:pt>
                <c:pt idx="129">
                  <c:v>9.7783673762457507E-4</c:v>
                </c:pt>
                <c:pt idx="130">
                  <c:v>1.06709670088128E-4</c:v>
                </c:pt>
                <c:pt idx="131">
                  <c:v>-6.3499302655428398E-4</c:v>
                </c:pt>
                <c:pt idx="132">
                  <c:v>-9.1796792679356995E-4</c:v>
                </c:pt>
                <c:pt idx="133">
                  <c:v>1.8928844080050001E-3</c:v>
                </c:pt>
                <c:pt idx="134">
                  <c:v>4.4721164989003798E-4</c:v>
                </c:pt>
                <c:pt idx="135">
                  <c:v>8.3010679753574496E-4</c:v>
                </c:pt>
                <c:pt idx="136">
                  <c:v>1.49264819242972E-3</c:v>
                </c:pt>
                <c:pt idx="137">
                  <c:v>1.89078901738964E-3</c:v>
                </c:pt>
                <c:pt idx="138">
                  <c:v>-1.41427967488633E-3</c:v>
                </c:pt>
                <c:pt idx="139">
                  <c:v>-4.0942766195008499E-3</c:v>
                </c:pt>
                <c:pt idx="140">
                  <c:v>-2.24254204941414E-4</c:v>
                </c:pt>
                <c:pt idx="141">
                  <c:v>6.4539727704483805E-4</c:v>
                </c:pt>
                <c:pt idx="142">
                  <c:v>5.6608276892499896E-4</c:v>
                </c:pt>
                <c:pt idx="143">
                  <c:v>-9.6351620287896101E-4</c:v>
                </c:pt>
                <c:pt idx="144">
                  <c:v>7.97856213391603E-4</c:v>
                </c:pt>
                <c:pt idx="145">
                  <c:v>1.7277672107837E-3</c:v>
                </c:pt>
                <c:pt idx="146">
                  <c:v>1.70507597156439E-3</c:v>
                </c:pt>
                <c:pt idx="147">
                  <c:v>4.0725637075653002E-4</c:v>
                </c:pt>
                <c:pt idx="148">
                  <c:v>9.3396579268670396E-4</c:v>
                </c:pt>
                <c:pt idx="149">
                  <c:v>2.9509561640508001E-3</c:v>
                </c:pt>
                <c:pt idx="150">
                  <c:v>-6.8322325732860499E-4</c:v>
                </c:pt>
                <c:pt idx="151">
                  <c:v>-1.6837983496907499E-3</c:v>
                </c:pt>
                <c:pt idx="152">
                  <c:v>3.05800751845967E-4</c:v>
                </c:pt>
                <c:pt idx="153">
                  <c:v>-3.1665153111675101E-3</c:v>
                </c:pt>
                <c:pt idx="154">
                  <c:v>-2.7978263463949602E-4</c:v>
                </c:pt>
                <c:pt idx="155">
                  <c:v>-9.5211005668104196E-4</c:v>
                </c:pt>
                <c:pt idx="156">
                  <c:v>4.3270496189184299E-4</c:v>
                </c:pt>
                <c:pt idx="157">
                  <c:v>-1.5823317658539E-3</c:v>
                </c:pt>
                <c:pt idx="158">
                  <c:v>5.0406622553403595E-4</c:v>
                </c:pt>
                <c:pt idx="159">
                  <c:v>-8.9171709088178098E-5</c:v>
                </c:pt>
                <c:pt idx="160">
                  <c:v>1.0275837825331599E-3</c:v>
                </c:pt>
                <c:pt idx="161">
                  <c:v>1.30707166772492E-3</c:v>
                </c:pt>
                <c:pt idx="162">
                  <c:v>2.0650799313527999E-4</c:v>
                </c:pt>
                <c:pt idx="163">
                  <c:v>-8.1807946605608401E-4</c:v>
                </c:pt>
                <c:pt idx="164">
                  <c:v>-1.0970532418886601E-3</c:v>
                </c:pt>
                <c:pt idx="165">
                  <c:v>-1.1299877298100701E-3</c:v>
                </c:pt>
                <c:pt idx="166">
                  <c:v>1.60764791703663E-3</c:v>
                </c:pt>
                <c:pt idx="167">
                  <c:v>-1.17654688640879E-3</c:v>
                </c:pt>
                <c:pt idx="168">
                  <c:v>-1.43115432187698E-3</c:v>
                </c:pt>
                <c:pt idx="169">
                  <c:v>-5.4732503065009301E-4</c:v>
                </c:pt>
                <c:pt idx="170">
                  <c:v>1.18366060310612E-3</c:v>
                </c:pt>
                <c:pt idx="171">
                  <c:v>1.1481853623590799E-3</c:v>
                </c:pt>
                <c:pt idx="172">
                  <c:v>-1.0432584252951099E-3</c:v>
                </c:pt>
                <c:pt idx="173">
                  <c:v>-4.8954315571536698E-4</c:v>
                </c:pt>
                <c:pt idx="174">
                  <c:v>9.4599900108041798E-4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0-4C0B-BD81-65007A5CFE8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BRK B x 20 dma / BRK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2.40262811364212E-3</c:v>
                </c:pt>
                <c:pt idx="21">
                  <c:v>9.3031298144680998E-4</c:v>
                </c:pt>
                <c:pt idx="22">
                  <c:v>-2.5878630195792099E-3</c:v>
                </c:pt>
                <c:pt idx="23">
                  <c:v>-1.03822073709549E-3</c:v>
                </c:pt>
                <c:pt idx="24">
                  <c:v>-1.2528845367716201E-4</c:v>
                </c:pt>
                <c:pt idx="25">
                  <c:v>-4.8744216855050899E-4</c:v>
                </c:pt>
                <c:pt idx="26">
                  <c:v>1.0887563836280199E-3</c:v>
                </c:pt>
                <c:pt idx="27">
                  <c:v>2.59718916443606E-3</c:v>
                </c:pt>
                <c:pt idx="28">
                  <c:v>1.06298330013207E-3</c:v>
                </c:pt>
                <c:pt idx="29">
                  <c:v>-6.6633149298681504E-3</c:v>
                </c:pt>
                <c:pt idx="30">
                  <c:v>7.7618318505159E-4</c:v>
                </c:pt>
                <c:pt idx="31">
                  <c:v>1.2980242580019599E-3</c:v>
                </c:pt>
                <c:pt idx="32">
                  <c:v>-4.9209572625073697E-4</c:v>
                </c:pt>
                <c:pt idx="33">
                  <c:v>1.66517986543426E-3</c:v>
                </c:pt>
                <c:pt idx="34">
                  <c:v>1.83975312075986E-3</c:v>
                </c:pt>
                <c:pt idx="35">
                  <c:v>1.10399741574573E-3</c:v>
                </c:pt>
                <c:pt idx="36">
                  <c:v>-1.1486705841607899E-3</c:v>
                </c:pt>
                <c:pt idx="37">
                  <c:v>1.2206287964984699E-3</c:v>
                </c:pt>
                <c:pt idx="38">
                  <c:v>7.8175375211726901E-4</c:v>
                </c:pt>
                <c:pt idx="39">
                  <c:v>6.2936510819177802E-4</c:v>
                </c:pt>
                <c:pt idx="40">
                  <c:v>1.5184718705722601E-3</c:v>
                </c:pt>
                <c:pt idx="41">
                  <c:v>8.7550520283606896E-4</c:v>
                </c:pt>
                <c:pt idx="42">
                  <c:v>-2.9982667007255999E-5</c:v>
                </c:pt>
                <c:pt idx="43">
                  <c:v>9.3332275747880396E-4</c:v>
                </c:pt>
                <c:pt idx="44">
                  <c:v>7.2453451769305204E-4</c:v>
                </c:pt>
                <c:pt idx="45">
                  <c:v>1.48475813628975E-3</c:v>
                </c:pt>
                <c:pt idx="46">
                  <c:v>2.03013012825826E-4</c:v>
                </c:pt>
                <c:pt idx="47">
                  <c:v>1.36935330034782E-3</c:v>
                </c:pt>
                <c:pt idx="48">
                  <c:v>3.1375758699377599E-5</c:v>
                </c:pt>
                <c:pt idx="49">
                  <c:v>1.9539152543802301E-4</c:v>
                </c:pt>
                <c:pt idx="50">
                  <c:v>5.4833980079114601E-5</c:v>
                </c:pt>
                <c:pt idx="51">
                  <c:v>-3.86318773817272E-4</c:v>
                </c:pt>
                <c:pt idx="52">
                  <c:v>-1.3536238749389999E-3</c:v>
                </c:pt>
                <c:pt idx="53">
                  <c:v>3.9248556880021502E-4</c:v>
                </c:pt>
                <c:pt idx="54">
                  <c:v>-6.2652978154804104E-4</c:v>
                </c:pt>
                <c:pt idx="55">
                  <c:v>5.1704183081460503E-4</c:v>
                </c:pt>
                <c:pt idx="56">
                  <c:v>-1.50146096152794E-3</c:v>
                </c:pt>
                <c:pt idx="57">
                  <c:v>1.4790769272334001E-5</c:v>
                </c:pt>
                <c:pt idx="58">
                  <c:v>-1.90406009265257E-3</c:v>
                </c:pt>
                <c:pt idx="59">
                  <c:v>-1.4317414460998401E-3</c:v>
                </c:pt>
                <c:pt idx="60">
                  <c:v>5.5117491700391896E-4</c:v>
                </c:pt>
                <c:pt idx="61">
                  <c:v>1.73644651922482E-3</c:v>
                </c:pt>
                <c:pt idx="62">
                  <c:v>-7.9730994122372695E-4</c:v>
                </c:pt>
                <c:pt idx="63">
                  <c:v>-3.1013799652616302E-3</c:v>
                </c:pt>
                <c:pt idx="64">
                  <c:v>1.1049288107231299E-4</c:v>
                </c:pt>
                <c:pt idx="65">
                  <c:v>-1.43256590846742E-3</c:v>
                </c:pt>
                <c:pt idx="66">
                  <c:v>-1.6815101932981201E-4</c:v>
                </c:pt>
                <c:pt idx="67">
                  <c:v>-2.40311691888184E-4</c:v>
                </c:pt>
                <c:pt idx="68">
                  <c:v>-5.80712326810027E-4</c:v>
                </c:pt>
                <c:pt idx="69">
                  <c:v>-5.4942695746768499E-4</c:v>
                </c:pt>
                <c:pt idx="70">
                  <c:v>2.5395979911993999E-5</c:v>
                </c:pt>
                <c:pt idx="71">
                  <c:v>1.7668555318549101E-4</c:v>
                </c:pt>
                <c:pt idx="72">
                  <c:v>6.54741316804781E-4</c:v>
                </c:pt>
                <c:pt idx="73">
                  <c:v>2.0936161242090501E-3</c:v>
                </c:pt>
                <c:pt idx="74">
                  <c:v>-1.2415396005338E-3</c:v>
                </c:pt>
                <c:pt idx="75">
                  <c:v>-6.7912044678480896E-3</c:v>
                </c:pt>
                <c:pt idx="76">
                  <c:v>9.44665302668569E-5</c:v>
                </c:pt>
                <c:pt idx="77">
                  <c:v>-5.5564404237413902E-4</c:v>
                </c:pt>
                <c:pt idx="78">
                  <c:v>1.50293055556286E-3</c:v>
                </c:pt>
                <c:pt idx="79">
                  <c:v>9.1415121038548506E-5</c:v>
                </c:pt>
                <c:pt idx="80">
                  <c:v>5.9338661622143195E-4</c:v>
                </c:pt>
                <c:pt idx="81">
                  <c:v>-1.57297700528679E-3</c:v>
                </c:pt>
                <c:pt idx="82">
                  <c:v>-3.6011856378926699E-4</c:v>
                </c:pt>
                <c:pt idx="83">
                  <c:v>7.6707787968486099E-4</c:v>
                </c:pt>
                <c:pt idx="84">
                  <c:v>-1.76200543740905E-3</c:v>
                </c:pt>
                <c:pt idx="85">
                  <c:v>-9.0942412757237003E-4</c:v>
                </c:pt>
                <c:pt idx="86">
                  <c:v>-4.2730256634611703E-3</c:v>
                </c:pt>
                <c:pt idx="87">
                  <c:v>-3.80142451235667E-3</c:v>
                </c:pt>
                <c:pt idx="88">
                  <c:v>-1.0364015456429199E-3</c:v>
                </c:pt>
                <c:pt idx="89">
                  <c:v>-8.2603023085992301E-5</c:v>
                </c:pt>
                <c:pt idx="90">
                  <c:v>2.48478240119793E-3</c:v>
                </c:pt>
                <c:pt idx="91">
                  <c:v>-1.4733277263196399E-4</c:v>
                </c:pt>
                <c:pt idx="92">
                  <c:v>1.7427001710239899E-3</c:v>
                </c:pt>
                <c:pt idx="93">
                  <c:v>4.9466915397997201E-3</c:v>
                </c:pt>
                <c:pt idx="94">
                  <c:v>1.4787353054561401E-3</c:v>
                </c:pt>
                <c:pt idx="95">
                  <c:v>1.9873664812825498E-3</c:v>
                </c:pt>
                <c:pt idx="96">
                  <c:v>3.0967801169718701E-3</c:v>
                </c:pt>
                <c:pt idx="97">
                  <c:v>2.0359114875412899E-3</c:v>
                </c:pt>
                <c:pt idx="98">
                  <c:v>1.9255846592050999E-3</c:v>
                </c:pt>
                <c:pt idx="99">
                  <c:v>1.84520443488577E-3</c:v>
                </c:pt>
                <c:pt idx="100">
                  <c:v>1.19586769611237E-3</c:v>
                </c:pt>
                <c:pt idx="101">
                  <c:v>1.6642530537257299E-3</c:v>
                </c:pt>
                <c:pt idx="102">
                  <c:v>7.3745148427212595E-4</c:v>
                </c:pt>
                <c:pt idx="103">
                  <c:v>3.5135854884631699E-4</c:v>
                </c:pt>
                <c:pt idx="104">
                  <c:v>-6.2440409427879599E-4</c:v>
                </c:pt>
                <c:pt idx="105">
                  <c:v>-4.68336962930017E-4</c:v>
                </c:pt>
                <c:pt idx="106">
                  <c:v>-1.70752808613053E-3</c:v>
                </c:pt>
                <c:pt idx="107">
                  <c:v>5.2153424332020901E-3</c:v>
                </c:pt>
                <c:pt idx="108">
                  <c:v>1.92805843725906E-3</c:v>
                </c:pt>
                <c:pt idx="109">
                  <c:v>-2.8025093935738201E-3</c:v>
                </c:pt>
                <c:pt idx="110">
                  <c:v>2.1560580364108298E-3</c:v>
                </c:pt>
                <c:pt idx="111">
                  <c:v>1.59519226771798E-3</c:v>
                </c:pt>
                <c:pt idx="112">
                  <c:v>6.3900463352094597E-4</c:v>
                </c:pt>
                <c:pt idx="113">
                  <c:v>-1.03731953309008E-3</c:v>
                </c:pt>
                <c:pt idx="114">
                  <c:v>-1.4324256532927901E-3</c:v>
                </c:pt>
                <c:pt idx="115">
                  <c:v>-9.4203689503453199E-5</c:v>
                </c:pt>
                <c:pt idx="116">
                  <c:v>-2.7494021493390899E-3</c:v>
                </c:pt>
                <c:pt idx="117">
                  <c:v>1.2301344123143399E-3</c:v>
                </c:pt>
                <c:pt idx="118">
                  <c:v>-1.6403594143736299E-3</c:v>
                </c:pt>
                <c:pt idx="119">
                  <c:v>-2.9077149601474E-3</c:v>
                </c:pt>
                <c:pt idx="120">
                  <c:v>3.3862888308333798E-3</c:v>
                </c:pt>
                <c:pt idx="121">
                  <c:v>6.9843485731456903E-5</c:v>
                </c:pt>
                <c:pt idx="122">
                  <c:v>1.7499214616119099E-3</c:v>
                </c:pt>
                <c:pt idx="123">
                  <c:v>-2.5130486409642E-3</c:v>
                </c:pt>
                <c:pt idx="124">
                  <c:v>-4.45637522115695E-4</c:v>
                </c:pt>
                <c:pt idx="125">
                  <c:v>3.1696800826135599E-3</c:v>
                </c:pt>
                <c:pt idx="126">
                  <c:v>-8.3652218060051699E-4</c:v>
                </c:pt>
                <c:pt idx="127">
                  <c:v>-9.0677423966092196E-3</c:v>
                </c:pt>
                <c:pt idx="128">
                  <c:v>2.63133477465391E-3</c:v>
                </c:pt>
                <c:pt idx="129">
                  <c:v>8.2030987425790898E-4</c:v>
                </c:pt>
                <c:pt idx="130">
                  <c:v>1.3253693123461001E-4</c:v>
                </c:pt>
                <c:pt idx="131">
                  <c:v>-8.1735801019136697E-4</c:v>
                </c:pt>
                <c:pt idx="132">
                  <c:v>-1.07000769609678E-3</c:v>
                </c:pt>
                <c:pt idx="133">
                  <c:v>1.54805164221965E-3</c:v>
                </c:pt>
                <c:pt idx="134">
                  <c:v>3.7014994539146E-4</c:v>
                </c:pt>
                <c:pt idx="135">
                  <c:v>7.4022478225740495E-4</c:v>
                </c:pt>
                <c:pt idx="136">
                  <c:v>1.11040294979951E-3</c:v>
                </c:pt>
                <c:pt idx="137">
                  <c:v>1.4799829960409801E-3</c:v>
                </c:pt>
                <c:pt idx="138">
                  <c:v>-8.2083844756812303E-4</c:v>
                </c:pt>
                <c:pt idx="139">
                  <c:v>-3.8601370103199498E-3</c:v>
                </c:pt>
                <c:pt idx="140">
                  <c:v>-3.90898517036107E-4</c:v>
                </c:pt>
                <c:pt idx="141">
                  <c:v>6.0757694349585802E-4</c:v>
                </c:pt>
                <c:pt idx="142">
                  <c:v>6.4621303617260297E-4</c:v>
                </c:pt>
                <c:pt idx="143">
                  <c:v>-6.4083095022325197E-4</c:v>
                </c:pt>
                <c:pt idx="144">
                  <c:v>8.3750365803288498E-4</c:v>
                </c:pt>
                <c:pt idx="145">
                  <c:v>1.77002248357658E-3</c:v>
                </c:pt>
                <c:pt idx="146">
                  <c:v>1.9394464378552701E-3</c:v>
                </c:pt>
                <c:pt idx="147">
                  <c:v>6.1103530765934495E-4</c:v>
                </c:pt>
                <c:pt idx="148">
                  <c:v>5.8430323813352201E-4</c:v>
                </c:pt>
                <c:pt idx="149">
                  <c:v>2.8523859501631199E-3</c:v>
                </c:pt>
                <c:pt idx="150">
                  <c:v>-2.0844700298887201E-4</c:v>
                </c:pt>
                <c:pt idx="151">
                  <c:v>-1.15124240426867E-3</c:v>
                </c:pt>
                <c:pt idx="152">
                  <c:v>7.1477923547245796E-4</c:v>
                </c:pt>
                <c:pt idx="153">
                  <c:v>-2.8119252378969901E-3</c:v>
                </c:pt>
                <c:pt idx="154">
                  <c:v>1.10476941408434E-4</c:v>
                </c:pt>
                <c:pt idx="155">
                  <c:v>-5.9821415784942799E-4</c:v>
                </c:pt>
                <c:pt idx="156">
                  <c:v>6.3891187050773603E-4</c:v>
                </c:pt>
                <c:pt idx="157">
                  <c:v>-1.45310923506096E-3</c:v>
                </c:pt>
                <c:pt idx="158">
                  <c:v>6.0041958593616204E-4</c:v>
                </c:pt>
                <c:pt idx="159">
                  <c:v>-8.7113246862965702E-5</c:v>
                </c:pt>
                <c:pt idx="160">
                  <c:v>5.3551824490948496E-4</c:v>
                </c:pt>
                <c:pt idx="161">
                  <c:v>8.2675801049686805E-4</c:v>
                </c:pt>
                <c:pt idx="162">
                  <c:v>-1.0910910218317401E-4</c:v>
                </c:pt>
                <c:pt idx="163">
                  <c:v>-1.1980586900286699E-3</c:v>
                </c:pt>
                <c:pt idx="164">
                  <c:v>-1.3226555193907601E-3</c:v>
                </c:pt>
                <c:pt idx="165">
                  <c:v>-1.40416418045557E-3</c:v>
                </c:pt>
                <c:pt idx="166">
                  <c:v>1.3957119810006401E-3</c:v>
                </c:pt>
                <c:pt idx="167">
                  <c:v>-1.3080291044977499E-3</c:v>
                </c:pt>
                <c:pt idx="168">
                  <c:v>-1.46888278819194E-3</c:v>
                </c:pt>
                <c:pt idx="169">
                  <c:v>-6.73760297100126E-4</c:v>
                </c:pt>
                <c:pt idx="170">
                  <c:v>1.1732207389692499E-3</c:v>
                </c:pt>
                <c:pt idx="171">
                  <c:v>1.10819971643746E-3</c:v>
                </c:pt>
                <c:pt idx="172">
                  <c:v>-1.19664206288331E-3</c:v>
                </c:pt>
                <c:pt idx="173">
                  <c:v>-6.8425291938194795E-4</c:v>
                </c:pt>
                <c:pt idx="174">
                  <c:v>6.6871015999998601E-4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0-4C0B-BD81-65007A5CF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7.0817603292344196E-3</c:v>
                </c:pt>
                <c:pt idx="11">
                  <c:v>7.0817603292344196E-3</c:v>
                </c:pt>
                <c:pt idx="12">
                  <c:v>7.0817603292344196E-3</c:v>
                </c:pt>
                <c:pt idx="13">
                  <c:v>7.0817603292344196E-3</c:v>
                </c:pt>
                <c:pt idx="14">
                  <c:v>7.0817603292344196E-3</c:v>
                </c:pt>
                <c:pt idx="15">
                  <c:v>7.0817603292344196E-3</c:v>
                </c:pt>
                <c:pt idx="16">
                  <c:v>7.0817603292344196E-3</c:v>
                </c:pt>
                <c:pt idx="17">
                  <c:v>7.0817603292344196E-3</c:v>
                </c:pt>
                <c:pt idx="18">
                  <c:v>7.0817603292344196E-3</c:v>
                </c:pt>
                <c:pt idx="19">
                  <c:v>7.0817603292344196E-3</c:v>
                </c:pt>
                <c:pt idx="20">
                  <c:v>7.0817603292344196E-3</c:v>
                </c:pt>
                <c:pt idx="21">
                  <c:v>7.0817603292344196E-3</c:v>
                </c:pt>
                <c:pt idx="22">
                  <c:v>7.0817603292344196E-3</c:v>
                </c:pt>
                <c:pt idx="23">
                  <c:v>7.0817603292344196E-3</c:v>
                </c:pt>
                <c:pt idx="24">
                  <c:v>7.0817603292344196E-3</c:v>
                </c:pt>
                <c:pt idx="25">
                  <c:v>7.0817603292344196E-3</c:v>
                </c:pt>
                <c:pt idx="26">
                  <c:v>7.0817603292344196E-3</c:v>
                </c:pt>
                <c:pt idx="27">
                  <c:v>7.0817603292344196E-3</c:v>
                </c:pt>
                <c:pt idx="28">
                  <c:v>7.0817603292344196E-3</c:v>
                </c:pt>
                <c:pt idx="29">
                  <c:v>7.0817603292344196E-3</c:v>
                </c:pt>
                <c:pt idx="30">
                  <c:v>7.0817603292344196E-3</c:v>
                </c:pt>
                <c:pt idx="31">
                  <c:v>7.0817603292344196E-3</c:v>
                </c:pt>
                <c:pt idx="32">
                  <c:v>7.0817603292344196E-3</c:v>
                </c:pt>
                <c:pt idx="33">
                  <c:v>7.0817603292344196E-3</c:v>
                </c:pt>
                <c:pt idx="34">
                  <c:v>7.0817603292344196E-3</c:v>
                </c:pt>
                <c:pt idx="35">
                  <c:v>7.0817603292344196E-3</c:v>
                </c:pt>
                <c:pt idx="36">
                  <c:v>7.0817603292344196E-3</c:v>
                </c:pt>
                <c:pt idx="37">
                  <c:v>7.0817603292344196E-3</c:v>
                </c:pt>
                <c:pt idx="38">
                  <c:v>7.0817603292344196E-3</c:v>
                </c:pt>
                <c:pt idx="39">
                  <c:v>7.0817603292344196E-3</c:v>
                </c:pt>
                <c:pt idx="40">
                  <c:v>7.0817603292344196E-3</c:v>
                </c:pt>
                <c:pt idx="41">
                  <c:v>7.0817603292344196E-3</c:v>
                </c:pt>
                <c:pt idx="42">
                  <c:v>7.0817603292344196E-3</c:v>
                </c:pt>
                <c:pt idx="43">
                  <c:v>7.0817603292344196E-3</c:v>
                </c:pt>
                <c:pt idx="44">
                  <c:v>7.0817603292344196E-3</c:v>
                </c:pt>
                <c:pt idx="45">
                  <c:v>7.0817603292344196E-3</c:v>
                </c:pt>
                <c:pt idx="46">
                  <c:v>7.0817603292344196E-3</c:v>
                </c:pt>
                <c:pt idx="47">
                  <c:v>7.0817603292344196E-3</c:v>
                </c:pt>
                <c:pt idx="48">
                  <c:v>7.0817603292344196E-3</c:v>
                </c:pt>
                <c:pt idx="49">
                  <c:v>7.0817603292344196E-3</c:v>
                </c:pt>
                <c:pt idx="50">
                  <c:v>7.0817603292344196E-3</c:v>
                </c:pt>
                <c:pt idx="51">
                  <c:v>7.0817603292344196E-3</c:v>
                </c:pt>
                <c:pt idx="52">
                  <c:v>7.0817603292344196E-3</c:v>
                </c:pt>
                <c:pt idx="53">
                  <c:v>7.0817603292344196E-3</c:v>
                </c:pt>
                <c:pt idx="54">
                  <c:v>7.0817603292344196E-3</c:v>
                </c:pt>
                <c:pt idx="55">
                  <c:v>7.0817603292344196E-3</c:v>
                </c:pt>
                <c:pt idx="56">
                  <c:v>1.3566253434448321E-2</c:v>
                </c:pt>
                <c:pt idx="57">
                  <c:v>1.3566253434448321E-2</c:v>
                </c:pt>
                <c:pt idx="58">
                  <c:v>1.3566253434448321E-2</c:v>
                </c:pt>
                <c:pt idx="59">
                  <c:v>1.3566253434448321E-2</c:v>
                </c:pt>
                <c:pt idx="60">
                  <c:v>1.3566253434448321E-2</c:v>
                </c:pt>
                <c:pt idx="61">
                  <c:v>1.3566253434448321E-2</c:v>
                </c:pt>
                <c:pt idx="62">
                  <c:v>1.3566253434448321E-2</c:v>
                </c:pt>
                <c:pt idx="63">
                  <c:v>1.3566253434448321E-2</c:v>
                </c:pt>
                <c:pt idx="64">
                  <c:v>1.3566253434448321E-2</c:v>
                </c:pt>
                <c:pt idx="65">
                  <c:v>1.3566253434448321E-2</c:v>
                </c:pt>
                <c:pt idx="66">
                  <c:v>1.3566253434448321E-2</c:v>
                </c:pt>
                <c:pt idx="67">
                  <c:v>1.3788927332174981E-2</c:v>
                </c:pt>
                <c:pt idx="68">
                  <c:v>1.6321337446369273E-2</c:v>
                </c:pt>
                <c:pt idx="69">
                  <c:v>1.7191098231591671E-2</c:v>
                </c:pt>
                <c:pt idx="70">
                  <c:v>1.7191098231591671E-2</c:v>
                </c:pt>
                <c:pt idx="71">
                  <c:v>1.7191098231591671E-2</c:v>
                </c:pt>
                <c:pt idx="72">
                  <c:v>1.7191098231591671E-2</c:v>
                </c:pt>
                <c:pt idx="73">
                  <c:v>1.7191098231591671E-2</c:v>
                </c:pt>
                <c:pt idx="74">
                  <c:v>1.7191098231591671E-2</c:v>
                </c:pt>
                <c:pt idx="75">
                  <c:v>1.7191098231591671E-2</c:v>
                </c:pt>
                <c:pt idx="76">
                  <c:v>1.7191098231591671E-2</c:v>
                </c:pt>
                <c:pt idx="77">
                  <c:v>1.7191098231591671E-2</c:v>
                </c:pt>
                <c:pt idx="78">
                  <c:v>1.7191098231591671E-2</c:v>
                </c:pt>
                <c:pt idx="79">
                  <c:v>1.7191098231591671E-2</c:v>
                </c:pt>
                <c:pt idx="80">
                  <c:v>1.7191098231591671E-2</c:v>
                </c:pt>
                <c:pt idx="81">
                  <c:v>1.7191098231591671E-2</c:v>
                </c:pt>
                <c:pt idx="82">
                  <c:v>1.7191098231591671E-2</c:v>
                </c:pt>
                <c:pt idx="83">
                  <c:v>1.7191098231591671E-2</c:v>
                </c:pt>
                <c:pt idx="84">
                  <c:v>1.7191098231591671E-2</c:v>
                </c:pt>
                <c:pt idx="85">
                  <c:v>1.7191098231591671E-2</c:v>
                </c:pt>
                <c:pt idx="86">
                  <c:v>1.7191098231591671E-2</c:v>
                </c:pt>
                <c:pt idx="87">
                  <c:v>1.7191098231591671E-2</c:v>
                </c:pt>
                <c:pt idx="88">
                  <c:v>1.7191098231591671E-2</c:v>
                </c:pt>
                <c:pt idx="89">
                  <c:v>1.7191098231591671E-2</c:v>
                </c:pt>
                <c:pt idx="90">
                  <c:v>1.7191098231591671E-2</c:v>
                </c:pt>
                <c:pt idx="91">
                  <c:v>1.7191098231591671E-2</c:v>
                </c:pt>
                <c:pt idx="92">
                  <c:v>1.7191098231591671E-2</c:v>
                </c:pt>
                <c:pt idx="93">
                  <c:v>1.7191098231591671E-2</c:v>
                </c:pt>
                <c:pt idx="94">
                  <c:v>1.7191098231591671E-2</c:v>
                </c:pt>
                <c:pt idx="95">
                  <c:v>1.7191098231591671E-2</c:v>
                </c:pt>
                <c:pt idx="96">
                  <c:v>1.7191098231591671E-2</c:v>
                </c:pt>
                <c:pt idx="97">
                  <c:v>1.7191098231591671E-2</c:v>
                </c:pt>
                <c:pt idx="98">
                  <c:v>1.7191098231591671E-2</c:v>
                </c:pt>
                <c:pt idx="99">
                  <c:v>1.7191098231591671E-2</c:v>
                </c:pt>
                <c:pt idx="100">
                  <c:v>1.7191098231591671E-2</c:v>
                </c:pt>
                <c:pt idx="101">
                  <c:v>1.7191098231591671E-2</c:v>
                </c:pt>
                <c:pt idx="102">
                  <c:v>1.7191098231591671E-2</c:v>
                </c:pt>
                <c:pt idx="103">
                  <c:v>1.7191098231591671E-2</c:v>
                </c:pt>
                <c:pt idx="104">
                  <c:v>1.7191098231591671E-2</c:v>
                </c:pt>
                <c:pt idx="105">
                  <c:v>1.7191098231591671E-2</c:v>
                </c:pt>
                <c:pt idx="106">
                  <c:v>1.7191098231591671E-2</c:v>
                </c:pt>
                <c:pt idx="107">
                  <c:v>1.7191098231591671E-2</c:v>
                </c:pt>
                <c:pt idx="108">
                  <c:v>2.8220064066241741E-2</c:v>
                </c:pt>
                <c:pt idx="109">
                  <c:v>2.8220064066241741E-2</c:v>
                </c:pt>
                <c:pt idx="110">
                  <c:v>2.8220064066241741E-2</c:v>
                </c:pt>
                <c:pt idx="111">
                  <c:v>2.8220064066241741E-2</c:v>
                </c:pt>
                <c:pt idx="112">
                  <c:v>2.8220064066241741E-2</c:v>
                </c:pt>
                <c:pt idx="113">
                  <c:v>2.8220064066241741E-2</c:v>
                </c:pt>
                <c:pt idx="114">
                  <c:v>2.8220064066241741E-2</c:v>
                </c:pt>
                <c:pt idx="115">
                  <c:v>2.8220064066241741E-2</c:v>
                </c:pt>
                <c:pt idx="116">
                  <c:v>2.8220064066241741E-2</c:v>
                </c:pt>
                <c:pt idx="117">
                  <c:v>2.8220064066241741E-2</c:v>
                </c:pt>
                <c:pt idx="118">
                  <c:v>2.8220064066241741E-2</c:v>
                </c:pt>
                <c:pt idx="119">
                  <c:v>2.8220064066241741E-2</c:v>
                </c:pt>
                <c:pt idx="120">
                  <c:v>2.8220064066241741E-2</c:v>
                </c:pt>
                <c:pt idx="121">
                  <c:v>2.8220064066241741E-2</c:v>
                </c:pt>
                <c:pt idx="122">
                  <c:v>2.8220064066241741E-2</c:v>
                </c:pt>
                <c:pt idx="123">
                  <c:v>2.8220064066241741E-2</c:v>
                </c:pt>
                <c:pt idx="124">
                  <c:v>2.8220064066241741E-2</c:v>
                </c:pt>
                <c:pt idx="125">
                  <c:v>2.8220064066241741E-2</c:v>
                </c:pt>
                <c:pt idx="126">
                  <c:v>2.8220064066241741E-2</c:v>
                </c:pt>
                <c:pt idx="127">
                  <c:v>2.8220064066241741E-2</c:v>
                </c:pt>
                <c:pt idx="128">
                  <c:v>2.8220064066241741E-2</c:v>
                </c:pt>
                <c:pt idx="129">
                  <c:v>2.8220064066241741E-2</c:v>
                </c:pt>
                <c:pt idx="130">
                  <c:v>2.8220064066241741E-2</c:v>
                </c:pt>
                <c:pt idx="131">
                  <c:v>2.8220064066241741E-2</c:v>
                </c:pt>
                <c:pt idx="132">
                  <c:v>2.8220064066241741E-2</c:v>
                </c:pt>
                <c:pt idx="133">
                  <c:v>2.8220064066241741E-2</c:v>
                </c:pt>
                <c:pt idx="134">
                  <c:v>2.8220064066241741E-2</c:v>
                </c:pt>
                <c:pt idx="135">
                  <c:v>2.8220064066241741E-2</c:v>
                </c:pt>
                <c:pt idx="136">
                  <c:v>2.8220064066241741E-2</c:v>
                </c:pt>
                <c:pt idx="137">
                  <c:v>2.8220064066241741E-2</c:v>
                </c:pt>
                <c:pt idx="138">
                  <c:v>2.8220064066241741E-2</c:v>
                </c:pt>
                <c:pt idx="139">
                  <c:v>2.8220064066241741E-2</c:v>
                </c:pt>
                <c:pt idx="140">
                  <c:v>2.8220064066241741E-2</c:v>
                </c:pt>
                <c:pt idx="141">
                  <c:v>2.8220064066241741E-2</c:v>
                </c:pt>
                <c:pt idx="142">
                  <c:v>2.8220064066241741E-2</c:v>
                </c:pt>
                <c:pt idx="143">
                  <c:v>2.8220064066241741E-2</c:v>
                </c:pt>
                <c:pt idx="144">
                  <c:v>2.8220064066241741E-2</c:v>
                </c:pt>
                <c:pt idx="145">
                  <c:v>2.8220064066241741E-2</c:v>
                </c:pt>
                <c:pt idx="146">
                  <c:v>2.8220064066241741E-2</c:v>
                </c:pt>
                <c:pt idx="147">
                  <c:v>2.8220064066241741E-2</c:v>
                </c:pt>
                <c:pt idx="148">
                  <c:v>2.8220064066241741E-2</c:v>
                </c:pt>
                <c:pt idx="149">
                  <c:v>2.8220064066241741E-2</c:v>
                </c:pt>
                <c:pt idx="150">
                  <c:v>2.8220064066241741E-2</c:v>
                </c:pt>
                <c:pt idx="151">
                  <c:v>2.8220064066241741E-2</c:v>
                </c:pt>
                <c:pt idx="152">
                  <c:v>2.8220064066241741E-2</c:v>
                </c:pt>
                <c:pt idx="153">
                  <c:v>2.8220064066241741E-2</c:v>
                </c:pt>
                <c:pt idx="154">
                  <c:v>2.8220064066241741E-2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E-4B55-83C2-5C26868C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3.3893950098533004E-3</c:v>
                </c:pt>
                <c:pt idx="75">
                  <c:v>2.8070253893630083E-3</c:v>
                </c:pt>
                <c:pt idx="76">
                  <c:v>1.3131597116045682E-3</c:v>
                </c:pt>
                <c:pt idx="77">
                  <c:v>2.240118931674067E-3</c:v>
                </c:pt>
                <c:pt idx="78">
                  <c:v>2.2314624051957173E-3</c:v>
                </c:pt>
                <c:pt idx="79">
                  <c:v>2.2911093991184574E-3</c:v>
                </c:pt>
                <c:pt idx="80">
                  <c:v>2.8577622489868578E-3</c:v>
                </c:pt>
                <c:pt idx="81">
                  <c:v>2.3614804278756681E-3</c:v>
                </c:pt>
                <c:pt idx="82">
                  <c:v>3.1251708848072188E-3</c:v>
                </c:pt>
                <c:pt idx="83">
                  <c:v>3.1251708848072188E-3</c:v>
                </c:pt>
                <c:pt idx="84">
                  <c:v>3.1251708848072188E-3</c:v>
                </c:pt>
                <c:pt idx="85">
                  <c:v>3.1251708848072188E-3</c:v>
                </c:pt>
                <c:pt idx="86">
                  <c:v>3.1251708848072188E-3</c:v>
                </c:pt>
                <c:pt idx="87">
                  <c:v>3.1251708848072188E-3</c:v>
                </c:pt>
                <c:pt idx="88">
                  <c:v>5.9076897132815985E-3</c:v>
                </c:pt>
                <c:pt idx="89">
                  <c:v>1.0399144315200178E-2</c:v>
                </c:pt>
                <c:pt idx="90">
                  <c:v>1.0399144315200178E-2</c:v>
                </c:pt>
                <c:pt idx="91">
                  <c:v>1.0399144315200178E-2</c:v>
                </c:pt>
                <c:pt idx="92">
                  <c:v>1.0399144315200178E-2</c:v>
                </c:pt>
                <c:pt idx="93">
                  <c:v>1.0399144315200178E-2</c:v>
                </c:pt>
                <c:pt idx="94">
                  <c:v>1.0399144315200178E-2</c:v>
                </c:pt>
                <c:pt idx="95">
                  <c:v>1.0399144315200178E-2</c:v>
                </c:pt>
                <c:pt idx="96">
                  <c:v>1.0399144315200178E-2</c:v>
                </c:pt>
                <c:pt idx="97">
                  <c:v>1.0399144315200178E-2</c:v>
                </c:pt>
                <c:pt idx="98">
                  <c:v>1.0399144315200178E-2</c:v>
                </c:pt>
                <c:pt idx="99">
                  <c:v>1.0399144315200178E-2</c:v>
                </c:pt>
                <c:pt idx="100">
                  <c:v>1.0399144315200178E-2</c:v>
                </c:pt>
                <c:pt idx="101">
                  <c:v>1.0399144315200178E-2</c:v>
                </c:pt>
                <c:pt idx="102">
                  <c:v>1.0399144315200178E-2</c:v>
                </c:pt>
                <c:pt idx="103">
                  <c:v>1.0399144315200178E-2</c:v>
                </c:pt>
                <c:pt idx="104">
                  <c:v>1.0399144315200178E-2</c:v>
                </c:pt>
                <c:pt idx="105">
                  <c:v>1.0399144315200178E-2</c:v>
                </c:pt>
                <c:pt idx="106">
                  <c:v>1.0399144315200178E-2</c:v>
                </c:pt>
                <c:pt idx="107">
                  <c:v>1.0399144315200178E-2</c:v>
                </c:pt>
                <c:pt idx="108">
                  <c:v>1.0399144315200178E-2</c:v>
                </c:pt>
                <c:pt idx="109">
                  <c:v>1.0399144315200178E-2</c:v>
                </c:pt>
                <c:pt idx="110">
                  <c:v>1.0399144315200178E-2</c:v>
                </c:pt>
                <c:pt idx="111">
                  <c:v>1.0399144315200178E-2</c:v>
                </c:pt>
                <c:pt idx="112">
                  <c:v>1.0399144315200178E-2</c:v>
                </c:pt>
                <c:pt idx="113">
                  <c:v>1.0399144315200178E-2</c:v>
                </c:pt>
                <c:pt idx="114">
                  <c:v>1.0399144315200178E-2</c:v>
                </c:pt>
                <c:pt idx="115">
                  <c:v>1.0399144315200178E-2</c:v>
                </c:pt>
                <c:pt idx="116">
                  <c:v>1.0399144315200178E-2</c:v>
                </c:pt>
                <c:pt idx="117">
                  <c:v>1.0399144315200178E-2</c:v>
                </c:pt>
                <c:pt idx="118">
                  <c:v>1.0399144315200178E-2</c:v>
                </c:pt>
                <c:pt idx="119">
                  <c:v>1.0399144315200178E-2</c:v>
                </c:pt>
                <c:pt idx="120">
                  <c:v>1.0399144315200178E-2</c:v>
                </c:pt>
                <c:pt idx="121">
                  <c:v>1.0399144315200178E-2</c:v>
                </c:pt>
                <c:pt idx="122">
                  <c:v>1.0399144315200178E-2</c:v>
                </c:pt>
                <c:pt idx="123">
                  <c:v>1.0399144315200178E-2</c:v>
                </c:pt>
                <c:pt idx="124">
                  <c:v>1.0399144315200178E-2</c:v>
                </c:pt>
                <c:pt idx="125">
                  <c:v>1.0399144315200178E-2</c:v>
                </c:pt>
                <c:pt idx="126">
                  <c:v>1.0399144315200178E-2</c:v>
                </c:pt>
                <c:pt idx="127">
                  <c:v>1.0399144315200178E-2</c:v>
                </c:pt>
                <c:pt idx="128">
                  <c:v>1.0399144315200178E-2</c:v>
                </c:pt>
                <c:pt idx="129">
                  <c:v>1.0399144315200178E-2</c:v>
                </c:pt>
                <c:pt idx="130">
                  <c:v>1.0399144315200178E-2</c:v>
                </c:pt>
                <c:pt idx="131">
                  <c:v>1.0399144315200178E-2</c:v>
                </c:pt>
                <c:pt idx="132">
                  <c:v>1.0399144315200178E-2</c:v>
                </c:pt>
                <c:pt idx="133">
                  <c:v>1.0399144315200178E-2</c:v>
                </c:pt>
                <c:pt idx="134">
                  <c:v>1.0399144315200178E-2</c:v>
                </c:pt>
                <c:pt idx="135">
                  <c:v>1.0399144315200178E-2</c:v>
                </c:pt>
                <c:pt idx="136">
                  <c:v>1.0399144315200178E-2</c:v>
                </c:pt>
                <c:pt idx="137">
                  <c:v>1.0399144315200178E-2</c:v>
                </c:pt>
                <c:pt idx="138">
                  <c:v>1.0399144315200178E-2</c:v>
                </c:pt>
                <c:pt idx="139">
                  <c:v>1.0399144315200178E-2</c:v>
                </c:pt>
                <c:pt idx="140">
                  <c:v>1.0399144315200178E-2</c:v>
                </c:pt>
                <c:pt idx="141">
                  <c:v>1.0399144315200178E-2</c:v>
                </c:pt>
                <c:pt idx="142">
                  <c:v>1.0399144315200178E-2</c:v>
                </c:pt>
                <c:pt idx="143">
                  <c:v>1.0399144315200178E-2</c:v>
                </c:pt>
                <c:pt idx="144">
                  <c:v>1.0399144315200178E-2</c:v>
                </c:pt>
                <c:pt idx="145">
                  <c:v>1.0399144315200178E-2</c:v>
                </c:pt>
                <c:pt idx="146">
                  <c:v>1.0399144315200178E-2</c:v>
                </c:pt>
                <c:pt idx="147">
                  <c:v>1.0399144315200178E-2</c:v>
                </c:pt>
                <c:pt idx="148">
                  <c:v>1.0399144315200178E-2</c:v>
                </c:pt>
                <c:pt idx="149">
                  <c:v>1.0399144315200178E-2</c:v>
                </c:pt>
                <c:pt idx="150">
                  <c:v>1.0399144315200178E-2</c:v>
                </c:pt>
                <c:pt idx="151">
                  <c:v>1.0399144315200178E-2</c:v>
                </c:pt>
                <c:pt idx="152">
                  <c:v>1.0399144315200178E-2</c:v>
                </c:pt>
                <c:pt idx="153">
                  <c:v>1.0399144315200178E-2</c:v>
                </c:pt>
                <c:pt idx="154">
                  <c:v>1.0399144315200178E-2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6-4AE5-B652-6A146ED7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7.0817603292344196E-3</c:v>
                </c:pt>
                <c:pt idx="11">
                  <c:v>7.0817603292344196E-3</c:v>
                </c:pt>
                <c:pt idx="12">
                  <c:v>7.0817603292344196E-3</c:v>
                </c:pt>
                <c:pt idx="13">
                  <c:v>7.0817603292344196E-3</c:v>
                </c:pt>
                <c:pt idx="14">
                  <c:v>7.0817603292344196E-3</c:v>
                </c:pt>
                <c:pt idx="15">
                  <c:v>7.0817603292344196E-3</c:v>
                </c:pt>
                <c:pt idx="16">
                  <c:v>7.0817603292344196E-3</c:v>
                </c:pt>
                <c:pt idx="17">
                  <c:v>7.0817603292344196E-3</c:v>
                </c:pt>
                <c:pt idx="18">
                  <c:v>7.0817603292344196E-3</c:v>
                </c:pt>
                <c:pt idx="19">
                  <c:v>7.0817603292344196E-3</c:v>
                </c:pt>
                <c:pt idx="20">
                  <c:v>7.0817603292344196E-3</c:v>
                </c:pt>
                <c:pt idx="21">
                  <c:v>7.0817603292344196E-3</c:v>
                </c:pt>
                <c:pt idx="22">
                  <c:v>7.0817603292344196E-3</c:v>
                </c:pt>
                <c:pt idx="23">
                  <c:v>7.0817603292344196E-3</c:v>
                </c:pt>
                <c:pt idx="24">
                  <c:v>7.0817603292344196E-3</c:v>
                </c:pt>
                <c:pt idx="25">
                  <c:v>7.0817603292344196E-3</c:v>
                </c:pt>
                <c:pt idx="26">
                  <c:v>7.0817603292344196E-3</c:v>
                </c:pt>
                <c:pt idx="27">
                  <c:v>7.0817603292344196E-3</c:v>
                </c:pt>
                <c:pt idx="28">
                  <c:v>7.0817603292344196E-3</c:v>
                </c:pt>
                <c:pt idx="29">
                  <c:v>7.0817603292344196E-3</c:v>
                </c:pt>
                <c:pt idx="30">
                  <c:v>7.0817603292344196E-3</c:v>
                </c:pt>
                <c:pt idx="31">
                  <c:v>7.0817603292344196E-3</c:v>
                </c:pt>
                <c:pt idx="32">
                  <c:v>7.0817603292344196E-3</c:v>
                </c:pt>
                <c:pt idx="33">
                  <c:v>7.0817603292344196E-3</c:v>
                </c:pt>
                <c:pt idx="34">
                  <c:v>7.0817603292344196E-3</c:v>
                </c:pt>
                <c:pt idx="35">
                  <c:v>7.0817603292344196E-3</c:v>
                </c:pt>
                <c:pt idx="36">
                  <c:v>7.0817603292344196E-3</c:v>
                </c:pt>
                <c:pt idx="37">
                  <c:v>7.0817603292344196E-3</c:v>
                </c:pt>
                <c:pt idx="38">
                  <c:v>7.0817603292344196E-3</c:v>
                </c:pt>
                <c:pt idx="39">
                  <c:v>7.0817603292344196E-3</c:v>
                </c:pt>
                <c:pt idx="40">
                  <c:v>7.0817603292344196E-3</c:v>
                </c:pt>
                <c:pt idx="41">
                  <c:v>7.0817603292344196E-3</c:v>
                </c:pt>
                <c:pt idx="42">
                  <c:v>7.0817603292344196E-3</c:v>
                </c:pt>
                <c:pt idx="43">
                  <c:v>7.0817603292344196E-3</c:v>
                </c:pt>
                <c:pt idx="44">
                  <c:v>7.0817603292344196E-3</c:v>
                </c:pt>
                <c:pt idx="45">
                  <c:v>7.0817603292344196E-3</c:v>
                </c:pt>
                <c:pt idx="46">
                  <c:v>7.0817603292344196E-3</c:v>
                </c:pt>
                <c:pt idx="47">
                  <c:v>7.0817603292344196E-3</c:v>
                </c:pt>
                <c:pt idx="48">
                  <c:v>7.0817603292344196E-3</c:v>
                </c:pt>
                <c:pt idx="49">
                  <c:v>7.0817603292344196E-3</c:v>
                </c:pt>
                <c:pt idx="50">
                  <c:v>7.0817603292344196E-3</c:v>
                </c:pt>
                <c:pt idx="51">
                  <c:v>7.0817603292344196E-3</c:v>
                </c:pt>
                <c:pt idx="52">
                  <c:v>7.0817603292344196E-3</c:v>
                </c:pt>
                <c:pt idx="53">
                  <c:v>7.0817603292344196E-3</c:v>
                </c:pt>
                <c:pt idx="54">
                  <c:v>7.0817603292344196E-3</c:v>
                </c:pt>
                <c:pt idx="55">
                  <c:v>7.0817603292344196E-3</c:v>
                </c:pt>
                <c:pt idx="56">
                  <c:v>1.3566253434448321E-2</c:v>
                </c:pt>
                <c:pt idx="57">
                  <c:v>1.3566253434448321E-2</c:v>
                </c:pt>
                <c:pt idx="58">
                  <c:v>1.3566253434448321E-2</c:v>
                </c:pt>
                <c:pt idx="59">
                  <c:v>1.3566253434448321E-2</c:v>
                </c:pt>
                <c:pt idx="60">
                  <c:v>1.3566253434448321E-2</c:v>
                </c:pt>
                <c:pt idx="61">
                  <c:v>1.3566253434448321E-2</c:v>
                </c:pt>
                <c:pt idx="62">
                  <c:v>1.3566253434448321E-2</c:v>
                </c:pt>
                <c:pt idx="63">
                  <c:v>1.3566253434448321E-2</c:v>
                </c:pt>
                <c:pt idx="64">
                  <c:v>1.3566253434448321E-2</c:v>
                </c:pt>
                <c:pt idx="65">
                  <c:v>1.3566253434448321E-2</c:v>
                </c:pt>
                <c:pt idx="66">
                  <c:v>1.3566253434448321E-2</c:v>
                </c:pt>
                <c:pt idx="67">
                  <c:v>1.3788927332174981E-2</c:v>
                </c:pt>
                <c:pt idx="68">
                  <c:v>1.6321337446369273E-2</c:v>
                </c:pt>
                <c:pt idx="69">
                  <c:v>1.7191098231591671E-2</c:v>
                </c:pt>
                <c:pt idx="70">
                  <c:v>1.7191098231591671E-2</c:v>
                </c:pt>
                <c:pt idx="71">
                  <c:v>1.7191098231591671E-2</c:v>
                </c:pt>
                <c:pt idx="72">
                  <c:v>1.7191098231591671E-2</c:v>
                </c:pt>
                <c:pt idx="73">
                  <c:v>1.7191098231591671E-2</c:v>
                </c:pt>
                <c:pt idx="74">
                  <c:v>2.0580493241444973E-2</c:v>
                </c:pt>
                <c:pt idx="75">
                  <c:v>1.9998123620954683E-2</c:v>
                </c:pt>
                <c:pt idx="76">
                  <c:v>1.8504257943196243E-2</c:v>
                </c:pt>
                <c:pt idx="77">
                  <c:v>1.9431217163265742E-2</c:v>
                </c:pt>
                <c:pt idx="78">
                  <c:v>1.9422560636787392E-2</c:v>
                </c:pt>
                <c:pt idx="79">
                  <c:v>1.9482207630710131E-2</c:v>
                </c:pt>
                <c:pt idx="80">
                  <c:v>2.004886048057853E-2</c:v>
                </c:pt>
                <c:pt idx="81">
                  <c:v>1.9552578659467339E-2</c:v>
                </c:pt>
                <c:pt idx="82">
                  <c:v>2.0316269116398888E-2</c:v>
                </c:pt>
                <c:pt idx="83">
                  <c:v>2.0316269116398888E-2</c:v>
                </c:pt>
                <c:pt idx="84">
                  <c:v>2.0316269116398888E-2</c:v>
                </c:pt>
                <c:pt idx="85">
                  <c:v>2.0316269116398888E-2</c:v>
                </c:pt>
                <c:pt idx="86">
                  <c:v>2.0316269116398888E-2</c:v>
                </c:pt>
                <c:pt idx="87">
                  <c:v>2.0316269116398888E-2</c:v>
                </c:pt>
                <c:pt idx="88">
                  <c:v>2.3098787944873269E-2</c:v>
                </c:pt>
                <c:pt idx="89">
                  <c:v>2.7590242546791849E-2</c:v>
                </c:pt>
                <c:pt idx="90">
                  <c:v>2.7590242546791849E-2</c:v>
                </c:pt>
                <c:pt idx="91">
                  <c:v>2.7590242546791849E-2</c:v>
                </c:pt>
                <c:pt idx="92">
                  <c:v>2.7590242546791849E-2</c:v>
                </c:pt>
                <c:pt idx="93">
                  <c:v>2.7590242546791849E-2</c:v>
                </c:pt>
                <c:pt idx="94">
                  <c:v>2.7590242546791849E-2</c:v>
                </c:pt>
                <c:pt idx="95">
                  <c:v>2.7590242546791849E-2</c:v>
                </c:pt>
                <c:pt idx="96">
                  <c:v>2.7590242546791849E-2</c:v>
                </c:pt>
                <c:pt idx="97">
                  <c:v>2.7590242546791849E-2</c:v>
                </c:pt>
                <c:pt idx="98">
                  <c:v>2.7590242546791849E-2</c:v>
                </c:pt>
                <c:pt idx="99">
                  <c:v>2.7590242546791849E-2</c:v>
                </c:pt>
                <c:pt idx="100">
                  <c:v>2.7590242546791849E-2</c:v>
                </c:pt>
                <c:pt idx="101">
                  <c:v>2.7590242546791849E-2</c:v>
                </c:pt>
                <c:pt idx="102">
                  <c:v>2.7590242546791849E-2</c:v>
                </c:pt>
                <c:pt idx="103">
                  <c:v>2.7590242546791849E-2</c:v>
                </c:pt>
                <c:pt idx="104">
                  <c:v>2.7590242546791849E-2</c:v>
                </c:pt>
                <c:pt idx="105">
                  <c:v>2.7590242546791849E-2</c:v>
                </c:pt>
                <c:pt idx="106">
                  <c:v>2.7590242546791849E-2</c:v>
                </c:pt>
                <c:pt idx="107">
                  <c:v>2.7590242546791849E-2</c:v>
                </c:pt>
                <c:pt idx="108">
                  <c:v>3.8619208381441922E-2</c:v>
                </c:pt>
                <c:pt idx="109">
                  <c:v>3.8619208381441922E-2</c:v>
                </c:pt>
                <c:pt idx="110">
                  <c:v>3.8619208381441922E-2</c:v>
                </c:pt>
                <c:pt idx="111">
                  <c:v>3.8619208381441922E-2</c:v>
                </c:pt>
                <c:pt idx="112">
                  <c:v>3.8619208381441922E-2</c:v>
                </c:pt>
                <c:pt idx="113">
                  <c:v>3.8619208381441922E-2</c:v>
                </c:pt>
                <c:pt idx="114">
                  <c:v>3.8619208381441922E-2</c:v>
                </c:pt>
                <c:pt idx="115">
                  <c:v>3.8619208381441922E-2</c:v>
                </c:pt>
                <c:pt idx="116">
                  <c:v>3.8619208381441922E-2</c:v>
                </c:pt>
                <c:pt idx="117">
                  <c:v>3.8619208381441922E-2</c:v>
                </c:pt>
                <c:pt idx="118">
                  <c:v>3.8619208381441922E-2</c:v>
                </c:pt>
                <c:pt idx="119">
                  <c:v>3.8619208381441922E-2</c:v>
                </c:pt>
                <c:pt idx="120">
                  <c:v>3.8619208381441922E-2</c:v>
                </c:pt>
                <c:pt idx="121">
                  <c:v>3.8619208381441922E-2</c:v>
                </c:pt>
                <c:pt idx="122">
                  <c:v>3.8619208381441922E-2</c:v>
                </c:pt>
                <c:pt idx="123">
                  <c:v>3.8619208381441922E-2</c:v>
                </c:pt>
                <c:pt idx="124">
                  <c:v>3.8619208381441922E-2</c:v>
                </c:pt>
                <c:pt idx="125">
                  <c:v>3.8619208381441922E-2</c:v>
                </c:pt>
                <c:pt idx="126">
                  <c:v>3.8619208381441922E-2</c:v>
                </c:pt>
                <c:pt idx="127">
                  <c:v>3.8619208381441922E-2</c:v>
                </c:pt>
                <c:pt idx="128">
                  <c:v>3.8619208381441922E-2</c:v>
                </c:pt>
                <c:pt idx="129">
                  <c:v>3.8619208381441922E-2</c:v>
                </c:pt>
                <c:pt idx="130">
                  <c:v>3.8619208381441922E-2</c:v>
                </c:pt>
                <c:pt idx="131">
                  <c:v>3.8619208381441922E-2</c:v>
                </c:pt>
                <c:pt idx="132">
                  <c:v>3.8619208381441922E-2</c:v>
                </c:pt>
                <c:pt idx="133">
                  <c:v>3.8619208381441922E-2</c:v>
                </c:pt>
                <c:pt idx="134">
                  <c:v>3.8619208381441922E-2</c:v>
                </c:pt>
                <c:pt idx="135">
                  <c:v>3.8619208381441922E-2</c:v>
                </c:pt>
                <c:pt idx="136">
                  <c:v>3.8619208381441922E-2</c:v>
                </c:pt>
                <c:pt idx="137">
                  <c:v>3.8619208381441922E-2</c:v>
                </c:pt>
                <c:pt idx="138">
                  <c:v>3.8619208381441922E-2</c:v>
                </c:pt>
                <c:pt idx="139">
                  <c:v>3.8619208381441922E-2</c:v>
                </c:pt>
                <c:pt idx="140">
                  <c:v>3.8619208381441922E-2</c:v>
                </c:pt>
                <c:pt idx="141">
                  <c:v>3.8619208381441922E-2</c:v>
                </c:pt>
                <c:pt idx="142">
                  <c:v>3.8619208381441922E-2</c:v>
                </c:pt>
                <c:pt idx="143">
                  <c:v>3.8619208381441922E-2</c:v>
                </c:pt>
                <c:pt idx="144">
                  <c:v>3.8619208381441922E-2</c:v>
                </c:pt>
                <c:pt idx="145">
                  <c:v>3.8619208381441922E-2</c:v>
                </c:pt>
                <c:pt idx="146">
                  <c:v>3.8619208381441922E-2</c:v>
                </c:pt>
                <c:pt idx="147">
                  <c:v>3.8619208381441922E-2</c:v>
                </c:pt>
                <c:pt idx="148">
                  <c:v>3.8619208381441922E-2</c:v>
                </c:pt>
                <c:pt idx="149">
                  <c:v>3.8619208381441922E-2</c:v>
                </c:pt>
                <c:pt idx="150">
                  <c:v>3.8619208381441922E-2</c:v>
                </c:pt>
                <c:pt idx="151">
                  <c:v>3.8619208381441922E-2</c:v>
                </c:pt>
                <c:pt idx="152">
                  <c:v>3.8619208381441922E-2</c:v>
                </c:pt>
                <c:pt idx="153">
                  <c:v>3.8619208381441922E-2</c:v>
                </c:pt>
                <c:pt idx="154">
                  <c:v>3.8619208381441922E-2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0-49FE-87F7-4956E815B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294DC-2C62-4718-9206-9D36E7A65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D01049-CB98-4A97-B733-FEB88B9E3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96FB9D-8791-4AEF-81C2-F8C6C85A4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12FD48-F6C8-4592-AF4F-A678A1B7C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5013AA-0F4F-49A0-8DFB-E3C9C4B49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AE2242-8A70-4AC0-87A2-36DF4207D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DA27F1-5DCC-4850-8AC5-E5C990F9D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FOX_FOXA.xlsx" TargetMode="External"/><Relationship Id="rId1" Type="http://schemas.openxmlformats.org/officeDocument/2006/relationships/externalLinkPath" Target="FOX_FOX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FOXA/FOX avg</v>
          </cell>
          <cell r="P1" t="str">
            <v>FOXA/FOX 10 dma</v>
          </cell>
          <cell r="Q1" t="str">
            <v>FOXA/FOX 20 dma</v>
          </cell>
          <cell r="U1" t="str">
            <v>log diff FOX x avg / FOXA</v>
          </cell>
          <cell r="V1" t="str">
            <v>log diff FOX x 10 dma / FOXA</v>
          </cell>
          <cell r="W1" t="str">
            <v>log diff FOX x 20 dma / FOXA</v>
          </cell>
          <cell r="Y1" t="str">
            <v>FOXA*/FOX* avg</v>
          </cell>
          <cell r="Z1" t="str">
            <v>FOXA*/FOX* 10 dma</v>
          </cell>
          <cell r="AA1" t="str">
            <v>FOXA*/FOX* 20 dma</v>
          </cell>
          <cell r="AE1" t="str">
            <v>log diff FOX* x avg / FOXA*</v>
          </cell>
          <cell r="AF1" t="str">
            <v>log diff FOX* x 10 dma / FOXA*</v>
          </cell>
          <cell r="AG1" t="str">
            <v>log diff FOX* x 20 dma / FOXA*</v>
          </cell>
        </row>
        <row r="2">
          <cell r="O2">
            <v>1.1114016689784201</v>
          </cell>
          <cell r="Y2">
            <v>1.1114016689784201</v>
          </cell>
        </row>
        <row r="3">
          <cell r="O3">
            <v>1.1114016689784201</v>
          </cell>
          <cell r="U3">
            <v>-4.7877468099318497E-3</v>
          </cell>
          <cell r="Y3">
            <v>1.1114016689784201</v>
          </cell>
          <cell r="AE3">
            <v>-4.7877468099318497E-3</v>
          </cell>
        </row>
        <row r="4">
          <cell r="O4">
            <v>1.1114016689784201</v>
          </cell>
          <cell r="U4">
            <v>-1.10284654997885E-2</v>
          </cell>
          <cell r="Y4">
            <v>1.1114016689784201</v>
          </cell>
          <cell r="AE4">
            <v>-1.10284654997885E-2</v>
          </cell>
        </row>
        <row r="5">
          <cell r="O5">
            <v>1.1114016689784201</v>
          </cell>
          <cell r="U5">
            <v>-6.5291998932923796E-3</v>
          </cell>
          <cell r="Y5">
            <v>1.1114016689784201</v>
          </cell>
          <cell r="AE5">
            <v>-6.5291998932923796E-3</v>
          </cell>
        </row>
        <row r="6">
          <cell r="O6">
            <v>1.1114016689784201</v>
          </cell>
          <cell r="U6">
            <v>-8.1560033621689201E-3</v>
          </cell>
          <cell r="Y6">
            <v>1.1114016689784201</v>
          </cell>
          <cell r="AE6">
            <v>-8.1560033621689201E-3</v>
          </cell>
        </row>
        <row r="7">
          <cell r="O7">
            <v>1.1114016689784201</v>
          </cell>
          <cell r="U7">
            <v>1.88880755424837E-3</v>
          </cell>
          <cell r="Y7">
            <v>1.1114016689784201</v>
          </cell>
          <cell r="AE7">
            <v>1.88880755424837E-3</v>
          </cell>
        </row>
        <row r="8">
          <cell r="O8">
            <v>1.1114016689784201</v>
          </cell>
          <cell r="U8">
            <v>3.0518743141341302E-3</v>
          </cell>
          <cell r="Y8">
            <v>1.1114016689784201</v>
          </cell>
          <cell r="AE8">
            <v>3.0518743141341302E-3</v>
          </cell>
        </row>
        <row r="9">
          <cell r="O9">
            <v>1.1114016689784201</v>
          </cell>
          <cell r="U9">
            <v>9.5194648044477099E-3</v>
          </cell>
          <cell r="Y9">
            <v>1.1114016689784201</v>
          </cell>
          <cell r="AE9">
            <v>9.5194648044477099E-3</v>
          </cell>
        </row>
        <row r="10">
          <cell r="O10">
            <v>1.1114016689784201</v>
          </cell>
          <cell r="U10">
            <v>6.7619339971535198E-3</v>
          </cell>
          <cell r="Y10">
            <v>1.1114016689784201</v>
          </cell>
          <cell r="AE10">
            <v>6.7619339971535198E-3</v>
          </cell>
        </row>
        <row r="11">
          <cell r="O11">
            <v>1.1114016689784201</v>
          </cell>
          <cell r="P11">
            <v>1.1125612058420999</v>
          </cell>
          <cell r="U11">
            <v>5.2265317554580698E-3</v>
          </cell>
          <cell r="Y11">
            <v>1.1114016689784201</v>
          </cell>
          <cell r="Z11">
            <v>1.1125612058420999</v>
          </cell>
          <cell r="AE11">
            <v>5.2265317554580698E-3</v>
          </cell>
        </row>
        <row r="12">
          <cell r="O12">
            <v>1.1114016689784201</v>
          </cell>
          <cell r="P12">
            <v>1.11077865751278</v>
          </cell>
          <cell r="U12">
            <v>9.9227851817257802E-3</v>
          </cell>
          <cell r="V12">
            <v>1.09655516612184E-2</v>
          </cell>
          <cell r="Y12">
            <v>1.1114016689784201</v>
          </cell>
          <cell r="Z12">
            <v>1.11077865751278</v>
          </cell>
          <cell r="AE12">
            <v>9.9227851817257802E-3</v>
          </cell>
          <cell r="AF12">
            <v>1.09655516612184E-2</v>
          </cell>
        </row>
        <row r="13">
          <cell r="O13">
            <v>1.1114016689784201</v>
          </cell>
          <cell r="P13">
            <v>1.10957486123927</v>
          </cell>
          <cell r="U13">
            <v>6.0503743184545404E-3</v>
          </cell>
          <cell r="V13">
            <v>5.4896534133727698E-3</v>
          </cell>
          <cell r="Y13">
            <v>1.1114016689784201</v>
          </cell>
          <cell r="Z13">
            <v>1.10957486123927</v>
          </cell>
          <cell r="AE13">
            <v>6.0503743184545404E-3</v>
          </cell>
          <cell r="AF13">
            <v>5.4896534133727698E-3</v>
          </cell>
        </row>
        <row r="14">
          <cell r="O14">
            <v>1.1114016689784201</v>
          </cell>
          <cell r="P14">
            <v>1.1082454310096199</v>
          </cell>
          <cell r="U14">
            <v>8.7262146622557601E-4</v>
          </cell>
          <cell r="V14">
            <v>-7.7242802102894001E-4</v>
          </cell>
          <cell r="Y14">
            <v>1.1114016689784201</v>
          </cell>
          <cell r="Z14">
            <v>1.1082454310096199</v>
          </cell>
          <cell r="AE14">
            <v>8.7262146622557601E-4</v>
          </cell>
          <cell r="AF14">
            <v>-7.7242802102894001E-4</v>
          </cell>
        </row>
        <row r="15">
          <cell r="O15">
            <v>1.1114016689784201</v>
          </cell>
          <cell r="P15">
            <v>1.1076028217939899</v>
          </cell>
          <cell r="U15">
            <v>-7.6829542742955605E-4</v>
          </cell>
          <cell r="V15">
            <v>-3.6122070529131501E-3</v>
          </cell>
          <cell r="Y15">
            <v>1.1114016689784201</v>
          </cell>
          <cell r="Z15">
            <v>1.1076028217939899</v>
          </cell>
          <cell r="AE15">
            <v>-7.6829542742955605E-4</v>
          </cell>
          <cell r="AF15">
            <v>-3.6122070529131501E-3</v>
          </cell>
        </row>
        <row r="16">
          <cell r="O16">
            <v>1.1114016689784201</v>
          </cell>
          <cell r="P16">
            <v>1.1067687255454699</v>
          </cell>
          <cell r="U16">
            <v>-6.84216347597881E-4</v>
          </cell>
          <cell r="V16">
            <v>-4.1081399236576098E-3</v>
          </cell>
          <cell r="Y16">
            <v>1.1114016689784201</v>
          </cell>
          <cell r="Z16">
            <v>1.1067687255454699</v>
          </cell>
          <cell r="AE16">
            <v>-6.84216347597881E-4</v>
          </cell>
          <cell r="AF16">
            <v>-4.1081399236576098E-3</v>
          </cell>
        </row>
        <row r="17">
          <cell r="O17">
            <v>1.1114016689784201</v>
          </cell>
          <cell r="P17">
            <v>1.1071330487479301</v>
          </cell>
          <cell r="U17">
            <v>-1.3900601435999E-3</v>
          </cell>
          <cell r="V17">
            <v>-5.5673318097428197E-3</v>
          </cell>
          <cell r="Y17">
            <v>1.1114016689784201</v>
          </cell>
          <cell r="Z17">
            <v>1.1071330487479301</v>
          </cell>
          <cell r="AE17">
            <v>-1.3900601435999E-3</v>
          </cell>
          <cell r="AF17">
            <v>-5.5673318097428197E-3</v>
          </cell>
        </row>
        <row r="18">
          <cell r="O18">
            <v>1.1114016689784201</v>
          </cell>
          <cell r="P18">
            <v>1.1072252332091901</v>
          </cell>
          <cell r="U18">
            <v>2.22024174303082E-3</v>
          </cell>
          <cell r="V18">
            <v>-1.6279067343782901E-3</v>
          </cell>
          <cell r="Y18">
            <v>1.1114016689784201</v>
          </cell>
          <cell r="Z18">
            <v>1.1072252332091901</v>
          </cell>
          <cell r="AE18">
            <v>2.22024174303082E-3</v>
          </cell>
          <cell r="AF18">
            <v>-1.6279067343782901E-3</v>
          </cell>
        </row>
        <row r="19">
          <cell r="O19">
            <v>1.1114016689784201</v>
          </cell>
          <cell r="P19">
            <v>1.10779288661972</v>
          </cell>
          <cell r="U19">
            <v>4.3763151859855902E-3</v>
          </cell>
          <cell r="V19">
            <v>6.1142736432637798E-4</v>
          </cell>
          <cell r="Y19">
            <v>1.1114016689784201</v>
          </cell>
          <cell r="Z19">
            <v>1.10779288661972</v>
          </cell>
          <cell r="AE19">
            <v>4.3763151859855902E-3</v>
          </cell>
          <cell r="AF19">
            <v>6.1142736432637798E-4</v>
          </cell>
        </row>
        <row r="20">
          <cell r="O20">
            <v>1.1114016689784201</v>
          </cell>
          <cell r="P20">
            <v>1.10843725572584</v>
          </cell>
          <cell r="U20">
            <v>9.4176106560998397E-4</v>
          </cell>
          <cell r="V20">
            <v>-2.3105770681915798E-3</v>
          </cell>
          <cell r="Y20">
            <v>1.1114016689784201</v>
          </cell>
          <cell r="Z20">
            <v>1.10843725572584</v>
          </cell>
          <cell r="AE20">
            <v>9.4176106560998397E-4</v>
          </cell>
          <cell r="AF20">
            <v>-2.3105770681915798E-3</v>
          </cell>
        </row>
        <row r="21">
          <cell r="O21">
            <v>1.1114016689784201</v>
          </cell>
          <cell r="P21">
            <v>1.1088723333563399</v>
          </cell>
          <cell r="Q21">
            <v>1.1107167695992199</v>
          </cell>
          <cell r="U21">
            <v>1.29906564421361E-3</v>
          </cell>
          <cell r="V21">
            <v>-1.3717722997245E-3</v>
          </cell>
          <cell r="Y21">
            <v>1.1114016689784201</v>
          </cell>
          <cell r="Z21">
            <v>1.1088723333563399</v>
          </cell>
          <cell r="AA21">
            <v>1.1107167695992199</v>
          </cell>
          <cell r="AE21">
            <v>1.29906564421361E-3</v>
          </cell>
          <cell r="AF21">
            <v>-1.3717722997245E-3</v>
          </cell>
        </row>
        <row r="22">
          <cell r="O22">
            <v>1.1114016689784201</v>
          </cell>
          <cell r="P22">
            <v>1.1097057584796799</v>
          </cell>
          <cell r="Q22">
            <v>1.11024220799623</v>
          </cell>
          <cell r="U22">
            <v>2.3776760729545899E-3</v>
          </cell>
          <cell r="V22">
            <v>9.9275556989915698E-5</v>
          </cell>
          <cell r="W22">
            <v>1.7612378228614701E-3</v>
          </cell>
          <cell r="Y22">
            <v>1.1114016689784201</v>
          </cell>
          <cell r="Z22">
            <v>1.1097057584796799</v>
          </cell>
          <cell r="AA22">
            <v>1.11024220799623</v>
          </cell>
          <cell r="AE22">
            <v>2.3776760729545899E-3</v>
          </cell>
          <cell r="AF22">
            <v>9.9275556989915698E-5</v>
          </cell>
          <cell r="AG22">
            <v>1.7612378228614701E-3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1.1114016689784201</v>
          </cell>
          <cell r="P23">
            <v>1.11045790670052</v>
          </cell>
          <cell r="Q23">
            <v>1.1100163839699</v>
          </cell>
          <cell r="U23">
            <v>-7.35186277467926E-4</v>
          </cell>
          <cell r="V23">
            <v>-2.2622720972256399E-3</v>
          </cell>
          <cell r="W23">
            <v>-1.77897290724853E-3</v>
          </cell>
          <cell r="Y23">
            <v>1.1114016689784201</v>
          </cell>
          <cell r="Z23">
            <v>1.11045790670052</v>
          </cell>
          <cell r="AA23">
            <v>1.1100163839699</v>
          </cell>
          <cell r="AE23">
            <v>-7.35186277467926E-4</v>
          </cell>
          <cell r="AF23">
            <v>-2.2622720972256399E-3</v>
          </cell>
          <cell r="AG23">
            <v>-1.77897290724853E-3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1.1114016689784201</v>
          </cell>
          <cell r="P24">
            <v>1.1108127071113201</v>
          </cell>
          <cell r="Q24">
            <v>1.10952906906047</v>
          </cell>
          <cell r="U24">
            <v>-2.3174407019916198E-3</v>
          </cell>
          <cell r="V24">
            <v>-3.1669654379251001E-3</v>
          </cell>
          <cell r="W24">
            <v>-3.5646487061340602E-3</v>
          </cell>
          <cell r="Y24">
            <v>1.1114016689784201</v>
          </cell>
          <cell r="Z24">
            <v>1.1108127071113201</v>
          </cell>
          <cell r="AA24">
            <v>1.10952906906047</v>
          </cell>
          <cell r="AE24">
            <v>-2.3174407019916198E-3</v>
          </cell>
          <cell r="AF24">
            <v>-3.1669654379251001E-3</v>
          </cell>
          <cell r="AG24">
            <v>-3.5646487061340602E-3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1.1114016689784201</v>
          </cell>
          <cell r="P25">
            <v>1.1110325965205801</v>
          </cell>
          <cell r="Q25">
            <v>1.1093177091572799</v>
          </cell>
          <cell r="U25">
            <v>-2.7433116241210999E-3</v>
          </cell>
          <cell r="V25">
            <v>-3.2733791884645702E-3</v>
          </cell>
          <cell r="W25">
            <v>-4.4296319848917002E-3</v>
          </cell>
          <cell r="Y25">
            <v>1.1114016689784201</v>
          </cell>
          <cell r="Z25">
            <v>1.1110325965205801</v>
          </cell>
          <cell r="AA25">
            <v>1.1093177091572799</v>
          </cell>
          <cell r="AE25">
            <v>-2.7433116241210999E-3</v>
          </cell>
          <cell r="AF25">
            <v>-3.2733791884645702E-3</v>
          </cell>
          <cell r="AG25">
            <v>-4.4296319848917002E-3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1.1114016689784201</v>
          </cell>
          <cell r="P26">
            <v>1.1108360683371601</v>
          </cell>
          <cell r="Q26">
            <v>1.1088023969413201</v>
          </cell>
          <cell r="U26">
            <v>1.0844285420811299E-3</v>
          </cell>
          <cell r="V26">
            <v>7.5229501897467897E-4</v>
          </cell>
          <cell r="W26">
            <v>-7.9240511226142502E-4</v>
          </cell>
          <cell r="Y26">
            <v>1.1114016689784201</v>
          </cell>
          <cell r="Z26">
            <v>1.1108360683371601</v>
          </cell>
          <cell r="AA26">
            <v>1.1088023969413201</v>
          </cell>
          <cell r="AE26">
            <v>1.0844285420811299E-3</v>
          </cell>
          <cell r="AF26">
            <v>7.5229501897467897E-4</v>
          </cell>
          <cell r="AG26">
            <v>-7.9240511226142502E-4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1.1114016689784201</v>
          </cell>
          <cell r="P27">
            <v>1.1102902011753499</v>
          </cell>
          <cell r="Q27">
            <v>1.10871162496164</v>
          </cell>
          <cell r="U27">
            <v>3.52670487795493E-3</v>
          </cell>
          <cell r="V27">
            <v>3.0176678438172799E-3</v>
          </cell>
          <cell r="W27">
            <v>1.18523252003608E-3</v>
          </cell>
          <cell r="Y27">
            <v>1.1114016689784201</v>
          </cell>
          <cell r="Z27">
            <v>1.1102902011753499</v>
          </cell>
          <cell r="AA27">
            <v>1.10871162496164</v>
          </cell>
          <cell r="AE27">
            <v>3.52670487795493E-3</v>
          </cell>
          <cell r="AF27">
            <v>3.0176678438172799E-3</v>
          </cell>
          <cell r="AG27">
            <v>1.18523252003608E-3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1.1114016689784201</v>
          </cell>
          <cell r="P28">
            <v>1.1096435610363</v>
          </cell>
          <cell r="Q28">
            <v>1.1084343971227499</v>
          </cell>
          <cell r="U28">
            <v>8.0684814280977991E-3</v>
          </cell>
          <cell r="V28">
            <v>7.0679215298271097E-3</v>
          </cell>
          <cell r="W28">
            <v>5.6451408350048299E-3</v>
          </cell>
          <cell r="Y28">
            <v>1.1114016689784201</v>
          </cell>
          <cell r="Z28">
            <v>1.1096435610363</v>
          </cell>
          <cell r="AA28">
            <v>1.1084343971227499</v>
          </cell>
          <cell r="AE28">
            <v>8.0684814280977991E-3</v>
          </cell>
          <cell r="AF28">
            <v>7.0679215298271097E-3</v>
          </cell>
          <cell r="AG28">
            <v>5.6451408350048299E-3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1.1114016689784201</v>
          </cell>
          <cell r="P29">
            <v>1.1091961098524501</v>
          </cell>
          <cell r="Q29">
            <v>1.10849449823609</v>
          </cell>
          <cell r="U29">
            <v>8.4281784422513602E-3</v>
          </cell>
          <cell r="V29">
            <v>6.8450424614446802E-3</v>
          </cell>
          <cell r="W29">
            <v>5.7547615460370504E-3</v>
          </cell>
          <cell r="Y29">
            <v>1.1114016689784201</v>
          </cell>
          <cell r="Z29">
            <v>1.1091961098524501</v>
          </cell>
          <cell r="AA29">
            <v>1.10849449823609</v>
          </cell>
          <cell r="AE29">
            <v>8.4281784422513602E-3</v>
          </cell>
          <cell r="AF29">
            <v>6.8450424614446802E-3</v>
          </cell>
          <cell r="AG29">
            <v>5.7547615460370504E-3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1.1114016689784201</v>
          </cell>
          <cell r="P30">
            <v>1.10796791668285</v>
          </cell>
          <cell r="Q30">
            <v>1.1082025862043501</v>
          </cell>
          <cell r="U30">
            <v>1.20646525757887E-2</v>
          </cell>
          <cell r="V30">
            <v>1.00781966113136E-2</v>
          </cell>
          <cell r="W30">
            <v>9.4454558338451493E-3</v>
          </cell>
          <cell r="Y30">
            <v>1.1114016689784201</v>
          </cell>
          <cell r="Z30">
            <v>1.10796791668285</v>
          </cell>
          <cell r="AA30">
            <v>1.1082025862043501</v>
          </cell>
          <cell r="AE30">
            <v>1.20646525757887E-2</v>
          </cell>
          <cell r="AF30">
            <v>1.00781966113136E-2</v>
          </cell>
          <cell r="AG30">
            <v>9.4454558338451493E-3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1.1114016689784201</v>
          </cell>
          <cell r="P31">
            <v>1.1062621818206999</v>
          </cell>
          <cell r="Q31">
            <v>1.10756725758852</v>
          </cell>
          <cell r="U31">
            <v>1.67859211379007E-2</v>
          </cell>
          <cell r="V31">
            <v>1.36915694286498E-2</v>
          </cell>
          <cell r="W31">
            <v>1.3903348731794701E-2</v>
          </cell>
          <cell r="Y31">
            <v>1.1114016689784201</v>
          </cell>
          <cell r="Z31">
            <v>1.1062621818206999</v>
          </cell>
          <cell r="AA31">
            <v>1.10756725758852</v>
          </cell>
          <cell r="AE31">
            <v>1.67859211379007E-2</v>
          </cell>
          <cell r="AF31">
            <v>1.36915694286498E-2</v>
          </cell>
          <cell r="AG31">
            <v>1.3903348731794701E-2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1.1114016689784201</v>
          </cell>
          <cell r="P32">
            <v>1.1047464214467899</v>
          </cell>
          <cell r="Q32">
            <v>1.10722608996323</v>
          </cell>
          <cell r="U32">
            <v>1.6142724059167699E-2</v>
          </cell>
          <cell r="V32">
            <v>1.1507669601169701E-2</v>
          </cell>
          <cell r="W32">
            <v>1.2686690799250999E-2</v>
          </cell>
          <cell r="Y32">
            <v>1.1114016689784201</v>
          </cell>
          <cell r="Z32">
            <v>1.1047464214467899</v>
          </cell>
          <cell r="AA32">
            <v>1.10722608996323</v>
          </cell>
          <cell r="AE32">
            <v>1.6142724059167699E-2</v>
          </cell>
          <cell r="AF32">
            <v>1.1507669601169701E-2</v>
          </cell>
          <cell r="AG32">
            <v>1.2686690799250999E-2</v>
          </cell>
          <cell r="AR32">
            <v>0</v>
          </cell>
          <cell r="BC32">
            <v>6.4319707873294895E-4</v>
          </cell>
          <cell r="BF32">
            <v>6.4319707873294895E-4</v>
          </cell>
        </row>
        <row r="33">
          <cell r="O33">
            <v>1.1114016689784201</v>
          </cell>
          <cell r="P33">
            <v>1.1029198468175601</v>
          </cell>
          <cell r="Q33">
            <v>1.1066888767590399</v>
          </cell>
          <cell r="U33">
            <v>1.5823958369285799E-2</v>
          </cell>
          <cell r="V33">
            <v>9.81780059750024E-3</v>
          </cell>
          <cell r="W33">
            <v>1.2059844332111699E-2</v>
          </cell>
          <cell r="Y33">
            <v>1.1114016689784201</v>
          </cell>
          <cell r="Z33">
            <v>1.1029198468175601</v>
          </cell>
          <cell r="AA33">
            <v>1.1066888767590399</v>
          </cell>
          <cell r="AE33">
            <v>1.5823958369285799E-2</v>
          </cell>
          <cell r="AF33">
            <v>9.81780059750024E-3</v>
          </cell>
          <cell r="AG33">
            <v>1.2059844332111699E-2</v>
          </cell>
          <cell r="AR33">
            <v>0</v>
          </cell>
          <cell r="BC33">
            <v>9.6196276861474858E-4</v>
          </cell>
          <cell r="BF33">
            <v>9.6196276861474858E-4</v>
          </cell>
        </row>
        <row r="34">
          <cell r="O34">
            <v>1.1114016689784201</v>
          </cell>
          <cell r="P34">
            <v>1.1006339246401</v>
          </cell>
          <cell r="Q34">
            <v>1.10572331587571</v>
          </cell>
          <cell r="U34">
            <v>1.8416337499806801E-2</v>
          </cell>
          <cell r="V34">
            <v>1.07554232349024E-2</v>
          </cell>
          <cell r="W34">
            <v>1.4166917366591199E-2</v>
          </cell>
          <cell r="Y34">
            <v>1.1114016689784201</v>
          </cell>
          <cell r="Z34">
            <v>1.1006339246401</v>
          </cell>
          <cell r="AA34">
            <v>1.10572331587571</v>
          </cell>
          <cell r="AE34">
            <v>1.8416337499806801E-2</v>
          </cell>
          <cell r="AF34">
            <v>1.07554232349024E-2</v>
          </cell>
          <cell r="AG34">
            <v>1.4166917366591199E-2</v>
          </cell>
          <cell r="AR34">
            <v>0</v>
          </cell>
          <cell r="BC34">
            <v>-1.630416361906353E-3</v>
          </cell>
          <cell r="BF34">
            <v>-1.630416361906353E-3</v>
          </cell>
        </row>
        <row r="35">
          <cell r="O35">
            <v>1.1114016689784201</v>
          </cell>
          <cell r="P35">
            <v>1.09831763364365</v>
          </cell>
          <cell r="Q35">
            <v>1.1046751150821099</v>
          </cell>
          <cell r="U35">
            <v>1.8259790913093699E-2</v>
          </cell>
          <cell r="V35">
            <v>8.5241162978228393E-3</v>
          </cell>
          <cell r="W35">
            <v>1.3137512686030599E-2</v>
          </cell>
          <cell r="Y35">
            <v>1.1114016689784201</v>
          </cell>
          <cell r="Z35">
            <v>1.09831763364365</v>
          </cell>
          <cell r="AA35">
            <v>1.1046751150821099</v>
          </cell>
          <cell r="AE35">
            <v>1.8259790913093699E-2</v>
          </cell>
          <cell r="AF35">
            <v>8.5241162978228393E-3</v>
          </cell>
          <cell r="AG35">
            <v>1.3137512686030599E-2</v>
          </cell>
          <cell r="AR35">
            <v>0</v>
          </cell>
          <cell r="BC35">
            <v>-1.4738697751932525E-3</v>
          </cell>
          <cell r="BF35">
            <v>-1.4738697751932525E-3</v>
          </cell>
        </row>
        <row r="36">
          <cell r="O36">
            <v>1.1114016689784201</v>
          </cell>
          <cell r="P36">
            <v>1.09612781682772</v>
          </cell>
          <cell r="Q36">
            <v>1.10348194258244</v>
          </cell>
          <cell r="U36">
            <v>2.1006131688488201E-2</v>
          </cell>
          <cell r="V36">
            <v>9.1637332170925595E-3</v>
          </cell>
          <cell r="W36">
            <v>1.49354263747158E-2</v>
          </cell>
          <cell r="Y36">
            <v>1.1114016689784201</v>
          </cell>
          <cell r="Z36">
            <v>1.09612781682772</v>
          </cell>
          <cell r="AA36">
            <v>1.10348194258244</v>
          </cell>
          <cell r="AE36">
            <v>2.1006131688488201E-2</v>
          </cell>
          <cell r="AF36">
            <v>9.1637332170925595E-3</v>
          </cell>
          <cell r="AG36">
            <v>1.49354263747158E-2</v>
          </cell>
          <cell r="AR36">
            <v>0</v>
          </cell>
          <cell r="BC36">
            <v>-4.2202105505879522E-3</v>
          </cell>
          <cell r="BF36">
            <v>-4.2202105505879522E-3</v>
          </cell>
        </row>
        <row r="37">
          <cell r="O37">
            <v>1.1114016689784201</v>
          </cell>
          <cell r="P37">
            <v>1.09416243933081</v>
          </cell>
          <cell r="Q37">
            <v>1.10222632025308</v>
          </cell>
          <cell r="U37">
            <v>2.1432306318989999E-2</v>
          </cell>
          <cell r="V37">
            <v>7.5941256855707904E-3</v>
          </cell>
          <cell r="W37">
            <v>1.42809055794474E-2</v>
          </cell>
          <cell r="Y37">
            <v>1.1114016689784201</v>
          </cell>
          <cell r="Z37">
            <v>1.09416243933081</v>
          </cell>
          <cell r="AA37">
            <v>1.10222632025308</v>
          </cell>
          <cell r="AE37">
            <v>2.1432306318989999E-2</v>
          </cell>
          <cell r="AF37">
            <v>7.5941256855707904E-3</v>
          </cell>
          <cell r="AG37">
            <v>1.42809055794474E-2</v>
          </cell>
          <cell r="AR37">
            <v>0</v>
          </cell>
          <cell r="BC37">
            <v>-4.6463851810896531E-3</v>
          </cell>
          <cell r="BF37">
            <v>-4.6463851810896531E-3</v>
          </cell>
        </row>
        <row r="38">
          <cell r="O38">
            <v>1.1114016689784201</v>
          </cell>
          <cell r="P38">
            <v>1.0929843207023</v>
          </cell>
          <cell r="Q38">
            <v>1.1013139408693</v>
          </cell>
          <cell r="U38">
            <v>1.88121585137669E-2</v>
          </cell>
          <cell r="V38">
            <v>3.1793499593431502E-3</v>
          </cell>
          <cell r="W38">
            <v>1.0522236886265199E-2</v>
          </cell>
          <cell r="Y38">
            <v>1.1114016689784201</v>
          </cell>
          <cell r="Z38">
            <v>1.0929843207023</v>
          </cell>
          <cell r="AA38">
            <v>1.1013139408693</v>
          </cell>
          <cell r="AE38">
            <v>1.88121585137669E-2</v>
          </cell>
          <cell r="AF38">
            <v>3.1793499593431502E-3</v>
          </cell>
          <cell r="AG38">
            <v>1.0522236886265199E-2</v>
          </cell>
          <cell r="AR38">
            <v>0</v>
          </cell>
          <cell r="BC38">
            <v>-2.0262373758665533E-3</v>
          </cell>
          <cell r="BF38">
            <v>-2.0262373758665533E-3</v>
          </cell>
        </row>
        <row r="39">
          <cell r="O39">
            <v>1.1114016689784201</v>
          </cell>
          <cell r="P39">
            <v>1.09198315383023</v>
          </cell>
          <cell r="Q39">
            <v>1.10058963184134</v>
          </cell>
          <cell r="U39">
            <v>1.7554082428869602E-2</v>
          </cell>
          <cell r="V39">
            <v>8.4396277307871202E-4</v>
          </cell>
          <cell r="W39">
            <v>8.4360575422483593E-3</v>
          </cell>
          <cell r="Y39">
            <v>1.1114016689784201</v>
          </cell>
          <cell r="Z39">
            <v>1.09198315383023</v>
          </cell>
          <cell r="AA39">
            <v>1.10058963184134</v>
          </cell>
          <cell r="AE39">
            <v>1.7554082428869602E-2</v>
          </cell>
          <cell r="AF39">
            <v>8.4396277307871202E-4</v>
          </cell>
          <cell r="AG39">
            <v>8.4360575422483593E-3</v>
          </cell>
          <cell r="AR39">
            <v>0</v>
          </cell>
          <cell r="BC39">
            <v>-7.6816129096915486E-4</v>
          </cell>
          <cell r="BF39">
            <v>-7.6816129096915486E-4</v>
          </cell>
        </row>
        <row r="40">
          <cell r="O40">
            <v>1.1114016689784201</v>
          </cell>
          <cell r="P40">
            <v>1.09108745499251</v>
          </cell>
          <cell r="Q40">
            <v>1.0995276858376799</v>
          </cell>
          <cell r="U40">
            <v>2.0255105119896401E-2</v>
          </cell>
          <cell r="V40">
            <v>2.6285718755289702E-3</v>
          </cell>
          <cell r="W40">
            <v>1.04791867060046E-2</v>
          </cell>
          <cell r="Y40">
            <v>1.1114016689784201</v>
          </cell>
          <cell r="Z40">
            <v>1.09108745499251</v>
          </cell>
          <cell r="AA40">
            <v>1.0995276858376799</v>
          </cell>
          <cell r="AE40">
            <v>2.0255105119896401E-2</v>
          </cell>
          <cell r="AF40">
            <v>2.6285718755289702E-3</v>
          </cell>
          <cell r="AG40">
            <v>1.04791867060046E-2</v>
          </cell>
          <cell r="AR40">
            <v>0</v>
          </cell>
          <cell r="BC40">
            <v>-3.4691839819959444E-3</v>
          </cell>
          <cell r="BF40">
            <v>-3.4691839819959444E-3</v>
          </cell>
        </row>
        <row r="41">
          <cell r="O41">
            <v>1.1114016689784201</v>
          </cell>
          <cell r="P41">
            <v>1.09102985231156</v>
          </cell>
          <cell r="Q41">
            <v>1.0986460170661301</v>
          </cell>
          <cell r="U41">
            <v>1.73131220589825E-2</v>
          </cell>
          <cell r="V41">
            <v>-1.13399745902029E-3</v>
          </cell>
          <cell r="W41">
            <v>6.5718495909195401E-3</v>
          </cell>
          <cell r="Y41">
            <v>1.1114016689784201</v>
          </cell>
          <cell r="Z41">
            <v>1.09102985231156</v>
          </cell>
          <cell r="AA41">
            <v>1.0986460170661301</v>
          </cell>
          <cell r="AE41">
            <v>1.73131220589825E-2</v>
          </cell>
          <cell r="AF41">
            <v>-1.13399745902029E-3</v>
          </cell>
          <cell r="AG41">
            <v>6.5718495909195401E-3</v>
          </cell>
          <cell r="AR41">
            <v>0</v>
          </cell>
          <cell r="BC41">
            <v>-5.2720092108222462E-4</v>
          </cell>
          <cell r="BF41">
            <v>-5.2720092108222462E-4</v>
          </cell>
        </row>
        <row r="42">
          <cell r="O42">
            <v>1.1114016689784201</v>
          </cell>
          <cell r="P42">
            <v>1.0911768327852001</v>
          </cell>
          <cell r="Q42">
            <v>1.09796162711599</v>
          </cell>
          <cell r="U42">
            <v>1.47996263409002E-2</v>
          </cell>
          <cell r="V42">
            <v>-3.70028839646878E-3</v>
          </cell>
          <cell r="W42">
            <v>3.2561708445709501E-3</v>
          </cell>
          <cell r="Y42">
            <v>1.1114016689784201</v>
          </cell>
          <cell r="Z42">
            <v>1.0911768327852001</v>
          </cell>
          <cell r="AA42">
            <v>1.09796162711599</v>
          </cell>
          <cell r="AE42">
            <v>1.47996263409002E-2</v>
          </cell>
          <cell r="AF42">
            <v>-3.70028839646878E-3</v>
          </cell>
          <cell r="AG42">
            <v>3.2561708445709501E-3</v>
          </cell>
          <cell r="AR42">
            <v>0</v>
          </cell>
          <cell r="BC42">
            <v>1.9862947970000749E-3</v>
          </cell>
          <cell r="BF42">
            <v>1.9862947970000749E-3</v>
          </cell>
        </row>
        <row r="43">
          <cell r="O43">
            <v>1.1114016689784201</v>
          </cell>
          <cell r="P43">
            <v>1.09151102841975</v>
          </cell>
          <cell r="Q43">
            <v>1.09721543761866</v>
          </cell>
          <cell r="U43">
            <v>1.2773680120015301E-2</v>
          </cell>
          <cell r="V43">
            <v>-5.5915265029788403E-3</v>
          </cell>
          <cell r="W43">
            <v>6.0709106217245797E-4</v>
          </cell>
          <cell r="Y43">
            <v>1.1114016689784201</v>
          </cell>
          <cell r="Z43">
            <v>1.09151102841975</v>
          </cell>
          <cell r="AA43">
            <v>1.09721543761866</v>
          </cell>
          <cell r="AE43">
            <v>1.2773680120015301E-2</v>
          </cell>
          <cell r="AF43">
            <v>-5.5915265029788403E-3</v>
          </cell>
          <cell r="AG43">
            <v>6.0709106217245797E-4</v>
          </cell>
          <cell r="AR43">
            <v>0</v>
          </cell>
          <cell r="BC43">
            <v>1.9862947970000749E-3</v>
          </cell>
          <cell r="BF43">
            <v>1.9862947970000749E-3</v>
          </cell>
        </row>
        <row r="44">
          <cell r="O44">
            <v>1.1114016689784201</v>
          </cell>
          <cell r="P44">
            <v>1.0920998588608599</v>
          </cell>
          <cell r="Q44">
            <v>1.0963668917504801</v>
          </cell>
          <cell r="U44">
            <v>1.30342828844172E-2</v>
          </cell>
          <cell r="V44">
            <v>-5.0246997996393596E-3</v>
          </cell>
          <cell r="W44">
            <v>1.8784932740845099E-4</v>
          </cell>
          <cell r="Y44">
            <v>1.1114016689784201</v>
          </cell>
          <cell r="Z44">
            <v>1.0920998588608599</v>
          </cell>
          <cell r="AA44">
            <v>1.0963668917504801</v>
          </cell>
          <cell r="AE44">
            <v>1.30342828844172E-2</v>
          </cell>
          <cell r="AF44">
            <v>-5.0246997996393596E-3</v>
          </cell>
          <cell r="AG44">
            <v>1.8784932740845099E-4</v>
          </cell>
          <cell r="AR44">
            <v>0</v>
          </cell>
          <cell r="BC44">
            <v>1.9862947970000749E-3</v>
          </cell>
          <cell r="BF44">
            <v>1.9862947970000749E-3</v>
          </cell>
        </row>
        <row r="45">
          <cell r="O45">
            <v>1.1114016689784201</v>
          </cell>
          <cell r="P45">
            <v>1.09304248223773</v>
          </cell>
          <cell r="Q45">
            <v>1.09568005794069</v>
          </cell>
          <cell r="U45">
            <v>9.6591987436613607E-3</v>
          </cell>
          <cell r="V45">
            <v>-7.8604658239588201E-3</v>
          </cell>
          <cell r="W45">
            <v>-3.9608970544578199E-3</v>
          </cell>
          <cell r="Y45">
            <v>1.1114016689784201</v>
          </cell>
          <cell r="Z45">
            <v>1.09304248223773</v>
          </cell>
          <cell r="AA45">
            <v>1.09568005794069</v>
          </cell>
          <cell r="AE45">
            <v>9.6591987436613607E-3</v>
          </cell>
          <cell r="AF45">
            <v>-7.8604658239588201E-3</v>
          </cell>
          <cell r="AG45">
            <v>-3.9608970544578199E-3</v>
          </cell>
          <cell r="AR45">
            <v>0</v>
          </cell>
          <cell r="BC45">
            <v>1.9862947970000749E-3</v>
          </cell>
          <cell r="BF45">
            <v>1.9862947970000749E-3</v>
          </cell>
        </row>
        <row r="46">
          <cell r="O46">
            <v>1.1114016689784201</v>
          </cell>
          <cell r="P46">
            <v>1.0938721018719799</v>
          </cell>
          <cell r="Q46">
            <v>1.0949999593498501</v>
          </cell>
          <cell r="U46">
            <v>1.3411954499278201E-2</v>
          </cell>
          <cell r="V46">
            <v>-3.2449530592298199E-3</v>
          </cell>
          <cell r="W46">
            <v>-8.34801081253453E-4</v>
          </cell>
          <cell r="Y46">
            <v>1.1114016689784201</v>
          </cell>
          <cell r="Z46">
            <v>1.0938721018719799</v>
          </cell>
          <cell r="AA46">
            <v>1.0949999593498501</v>
          </cell>
          <cell r="AE46">
            <v>1.3411954499278201E-2</v>
          </cell>
          <cell r="AF46">
            <v>-3.2449530592298199E-3</v>
          </cell>
          <cell r="AG46">
            <v>-8.34801081253453E-4</v>
          </cell>
          <cell r="AR46">
            <v>0</v>
          </cell>
          <cell r="BC46">
            <v>1.9862947970000749E-3</v>
          </cell>
          <cell r="BF46">
            <v>1.9862947970000749E-3</v>
          </cell>
        </row>
        <row r="47">
          <cell r="O47">
            <v>1.1114016689784201</v>
          </cell>
          <cell r="P47">
            <v>1.09465904037397</v>
          </cell>
          <cell r="Q47">
            <v>1.0944107398523899</v>
          </cell>
          <cell r="U47">
            <v>1.4224359791442201E-2</v>
          </cell>
          <cell r="V47">
            <v>-1.67383530516462E-3</v>
          </cell>
          <cell r="W47">
            <v>-6.4329761621609695E-4</v>
          </cell>
          <cell r="Y47">
            <v>1.1114016689784201</v>
          </cell>
          <cell r="Z47">
            <v>1.09465904037397</v>
          </cell>
          <cell r="AA47">
            <v>1.0944107398523899</v>
          </cell>
          <cell r="AE47">
            <v>1.4224359791442201E-2</v>
          </cell>
          <cell r="AF47">
            <v>-1.67383530516462E-3</v>
          </cell>
          <cell r="AG47">
            <v>-6.4329761621609695E-4</v>
          </cell>
          <cell r="AR47">
            <v>0</v>
          </cell>
          <cell r="BC47">
            <v>1.9862947970000749E-3</v>
          </cell>
          <cell r="BF47">
            <v>1.9862947970000749E-3</v>
          </cell>
        </row>
        <row r="48">
          <cell r="O48">
            <v>1.1114016689784201</v>
          </cell>
          <cell r="P48">
            <v>1.09495149612466</v>
          </cell>
          <cell r="Q48">
            <v>1.0939679084134799</v>
          </cell>
          <cell r="U48">
            <v>1.6134362247400599E-2</v>
          </cell>
          <cell r="V48">
            <v>9.5531482086437503E-4</v>
          </cell>
          <cell r="W48">
            <v>7.2845999431589295E-4</v>
          </cell>
          <cell r="Y48">
            <v>1.1114016689784201</v>
          </cell>
          <cell r="Z48">
            <v>1.09495149612466</v>
          </cell>
          <cell r="AA48">
            <v>1.0939679084134799</v>
          </cell>
          <cell r="AE48">
            <v>1.6134362247400599E-2</v>
          </cell>
          <cell r="AF48">
            <v>9.5531482086437503E-4</v>
          </cell>
          <cell r="AG48">
            <v>7.2845999431589295E-4</v>
          </cell>
          <cell r="AR48">
            <v>0</v>
          </cell>
          <cell r="BC48">
            <v>1.9862947970000749E-3</v>
          </cell>
          <cell r="BF48">
            <v>1.9862947970000749E-3</v>
          </cell>
        </row>
        <row r="49">
          <cell r="O49">
            <v>1.1114016689784201</v>
          </cell>
          <cell r="P49">
            <v>1.0957681348016901</v>
          </cell>
          <cell r="Q49">
            <v>1.0938756443159601</v>
          </cell>
          <cell r="U49">
            <v>1.0103953953743699E-2</v>
          </cell>
          <cell r="V49">
            <v>-4.8079630881412098E-3</v>
          </cell>
          <cell r="W49">
            <v>-5.7066602035685601E-3</v>
          </cell>
          <cell r="Y49">
            <v>1.1114016689784201</v>
          </cell>
          <cell r="Z49">
            <v>1.0957681348016901</v>
          </cell>
          <cell r="AA49">
            <v>1.0938756443159601</v>
          </cell>
          <cell r="AE49">
            <v>1.0103953953743699E-2</v>
          </cell>
          <cell r="AF49">
            <v>-4.8079630881412098E-3</v>
          </cell>
          <cell r="AG49">
            <v>-5.7066602035685601E-3</v>
          </cell>
          <cell r="AR49">
            <v>0</v>
          </cell>
          <cell r="BC49">
            <v>1.9862947970000749E-3</v>
          </cell>
          <cell r="BF49">
            <v>1.9862947970000749E-3</v>
          </cell>
        </row>
        <row r="50">
          <cell r="O50">
            <v>1.1114016689784201</v>
          </cell>
          <cell r="P50">
            <v>1.0971582271137501</v>
          </cell>
          <cell r="Q50">
            <v>1.0941228410531301</v>
          </cell>
          <cell r="U50">
            <v>7.5723867346403203E-3</v>
          </cell>
          <cell r="V50">
            <v>-6.5939865111995398E-3</v>
          </cell>
          <cell r="W50">
            <v>-8.3225699228078494E-3</v>
          </cell>
          <cell r="Y50">
            <v>1.1114016689784201</v>
          </cell>
          <cell r="Z50">
            <v>1.0971582271137501</v>
          </cell>
          <cell r="AA50">
            <v>1.0941228410531301</v>
          </cell>
          <cell r="AE50">
            <v>7.5723867346403203E-3</v>
          </cell>
          <cell r="AF50">
            <v>-6.5939865111995398E-3</v>
          </cell>
          <cell r="AG50">
            <v>-8.3225699228078494E-3</v>
          </cell>
          <cell r="AR50">
            <v>0</v>
          </cell>
          <cell r="BC50">
            <v>1.9862947970000749E-3</v>
          </cell>
          <cell r="BF50">
            <v>1.9862947970000749E-3</v>
          </cell>
        </row>
        <row r="51">
          <cell r="O51">
            <v>1.1114016689784201</v>
          </cell>
          <cell r="P51">
            <v>1.09820372649715</v>
          </cell>
          <cell r="Q51">
            <v>1.0946167894043599</v>
          </cell>
          <cell r="U51">
            <v>7.7873192738180204E-3</v>
          </cell>
          <cell r="V51">
            <v>-5.11125718468674E-3</v>
          </cell>
          <cell r="W51">
            <v>-7.8816804281119993E-3</v>
          </cell>
          <cell r="Y51">
            <v>1.1114016689784201</v>
          </cell>
          <cell r="Z51">
            <v>1.09820372649715</v>
          </cell>
          <cell r="AA51">
            <v>1.0946167894043599</v>
          </cell>
          <cell r="AE51">
            <v>7.7873192738180204E-3</v>
          </cell>
          <cell r="AF51">
            <v>-5.11125718468674E-3</v>
          </cell>
          <cell r="AG51">
            <v>-7.8816804281119993E-3</v>
          </cell>
          <cell r="AR51">
            <v>0</v>
          </cell>
          <cell r="BC51">
            <v>1.9862947970000749E-3</v>
          </cell>
          <cell r="BF51">
            <v>1.9862947970000749E-3</v>
          </cell>
        </row>
        <row r="52">
          <cell r="O52">
            <v>1.1114016689784201</v>
          </cell>
          <cell r="P52">
            <v>1.0993014791618401</v>
          </cell>
          <cell r="Q52">
            <v>1.09523915597352</v>
          </cell>
          <cell r="U52">
            <v>4.8250810633682197E-3</v>
          </cell>
          <cell r="V52">
            <v>-7.1210333551273604E-3</v>
          </cell>
          <cell r="W52">
            <v>-1.03925644868455E-2</v>
          </cell>
          <cell r="Y52">
            <v>1.1114016689784201</v>
          </cell>
          <cell r="Z52">
            <v>1.0993014791618401</v>
          </cell>
          <cell r="AA52">
            <v>1.09523915597352</v>
          </cell>
          <cell r="AE52">
            <v>4.8250810633682197E-3</v>
          </cell>
          <cell r="AF52">
            <v>-7.1210333551273604E-3</v>
          </cell>
          <cell r="AG52">
            <v>-1.03925644868455E-2</v>
          </cell>
          <cell r="AR52">
            <v>0</v>
          </cell>
          <cell r="BC52">
            <v>1.9862947970000749E-3</v>
          </cell>
          <cell r="BF52">
            <v>1.9862947970000749E-3</v>
          </cell>
        </row>
        <row r="53">
          <cell r="O53">
            <v>1.1114016689784201</v>
          </cell>
          <cell r="P53">
            <v>1.10013965483001</v>
          </cell>
          <cell r="Q53">
            <v>1.09582534162488</v>
          </cell>
          <cell r="U53">
            <v>5.16414534298704E-3</v>
          </cell>
          <cell r="V53">
            <v>-5.7828790590962803E-3</v>
          </cell>
          <cell r="W53">
            <v>-9.4850915068910493E-3</v>
          </cell>
          <cell r="Y53">
            <v>1.1114016689784201</v>
          </cell>
          <cell r="Z53">
            <v>1.10013965483001</v>
          </cell>
          <cell r="AA53">
            <v>1.09582534162488</v>
          </cell>
          <cell r="AE53">
            <v>5.16414534298704E-3</v>
          </cell>
          <cell r="AF53">
            <v>-5.7828790590962803E-3</v>
          </cell>
          <cell r="AG53">
            <v>-9.4850915068910493E-3</v>
          </cell>
          <cell r="AR53">
            <v>3.3906427961880037E-4</v>
          </cell>
          <cell r="BC53">
            <v>1.9862947970000749E-3</v>
          </cell>
          <cell r="BF53">
            <v>2.3253590766188752E-3</v>
          </cell>
        </row>
        <row r="54">
          <cell r="O54">
            <v>1.1114016689784201</v>
          </cell>
          <cell r="P54">
            <v>1.10131915085419</v>
          </cell>
          <cell r="Q54">
            <v>1.0967095048575199</v>
          </cell>
          <cell r="U54">
            <v>2.3397505965112699E-3</v>
          </cell>
          <cell r="V54">
            <v>-7.8451022740863696E-3</v>
          </cell>
          <cell r="W54">
            <v>-1.17744169607978E-2</v>
          </cell>
          <cell r="Y54">
            <v>1.1114016689784201</v>
          </cell>
          <cell r="Z54">
            <v>1.10131915085419</v>
          </cell>
          <cell r="AA54">
            <v>1.0967095048575199</v>
          </cell>
          <cell r="AE54">
            <v>2.3397505965112699E-3</v>
          </cell>
          <cell r="AF54">
            <v>-7.8451022740863696E-3</v>
          </cell>
          <cell r="AG54">
            <v>-1.17744169607978E-2</v>
          </cell>
          <cell r="AR54">
            <v>-2.485330466857112E-3</v>
          </cell>
          <cell r="BC54">
            <v>1.9862947970000749E-3</v>
          </cell>
          <cell r="BF54">
            <v>-4.9903566985703713E-4</v>
          </cell>
        </row>
        <row r="55">
          <cell r="O55">
            <v>1.1114016689784201</v>
          </cell>
          <cell r="P55">
            <v>1.10205607985489</v>
          </cell>
          <cell r="Q55">
            <v>1.0975492810463101</v>
          </cell>
          <cell r="U55">
            <v>2.9865266730816601E-3</v>
          </cell>
          <cell r="V55">
            <v>-6.1267675256105403E-3</v>
          </cell>
          <cell r="W55">
            <v>-1.03211193532366E-2</v>
          </cell>
          <cell r="Y55">
            <v>1.1114016689784201</v>
          </cell>
          <cell r="Z55">
            <v>1.10205607985489</v>
          </cell>
          <cell r="AA55">
            <v>1.0975492810463101</v>
          </cell>
          <cell r="AE55">
            <v>2.9865266730816601E-3</v>
          </cell>
          <cell r="AF55">
            <v>-6.1267675256105403E-3</v>
          </cell>
          <cell r="AG55">
            <v>-1.03211193532366E-2</v>
          </cell>
          <cell r="AR55">
            <v>-1.8385543902867721E-3</v>
          </cell>
          <cell r="BC55">
            <v>1.9862947970000749E-3</v>
          </cell>
          <cell r="BF55">
            <v>1.4774040671330273E-4</v>
          </cell>
        </row>
        <row r="56">
          <cell r="O56">
            <v>1.1114016689784201</v>
          </cell>
          <cell r="P56">
            <v>1.10333981843033</v>
          </cell>
          <cell r="Q56">
            <v>1.09860596015115</v>
          </cell>
          <cell r="U56">
            <v>1.77335979186678E-3</v>
          </cell>
          <cell r="V56">
            <v>-6.6710251643929798E-3</v>
          </cell>
          <cell r="W56">
            <v>-1.07688557982726E-2</v>
          </cell>
          <cell r="Y56">
            <v>1.1114016689784201</v>
          </cell>
          <cell r="Z56">
            <v>1.10333981843033</v>
          </cell>
          <cell r="AA56">
            <v>1.09860596015115</v>
          </cell>
          <cell r="AE56">
            <v>1.77335979186678E-3</v>
          </cell>
          <cell r="AF56">
            <v>-6.6710251643929798E-3</v>
          </cell>
          <cell r="AG56">
            <v>-1.07688557982726E-2</v>
          </cell>
          <cell r="AR56">
            <v>-3.0517212715015121E-3</v>
          </cell>
          <cell r="BC56">
            <v>1.9862947970000749E-3</v>
          </cell>
          <cell r="BF56">
            <v>-1.0654264745014372E-3</v>
          </cell>
        </row>
        <row r="57">
          <cell r="O57">
            <v>1.1114016689784201</v>
          </cell>
          <cell r="P57">
            <v>1.1056505468656499</v>
          </cell>
          <cell r="Q57">
            <v>1.1001547936198099</v>
          </cell>
          <cell r="U57">
            <v>-6.64531831838163E-3</v>
          </cell>
          <cell r="V57">
            <v>-1.39255234360686E-2</v>
          </cell>
          <cell r="W57">
            <v>-1.82252347353478E-2</v>
          </cell>
          <cell r="Y57">
            <v>1.1114016689784201</v>
          </cell>
          <cell r="Z57">
            <v>1.1056505468656499</v>
          </cell>
          <cell r="AA57">
            <v>1.1001547936198099</v>
          </cell>
          <cell r="AE57">
            <v>-6.64531831838163E-3</v>
          </cell>
          <cell r="AF57">
            <v>-1.39255234360686E-2</v>
          </cell>
          <cell r="AG57">
            <v>-1.82252347353478E-2</v>
          </cell>
          <cell r="AR57">
            <v>-1.147039938175021E-2</v>
          </cell>
          <cell r="BC57">
            <v>1.9862947970000749E-3</v>
          </cell>
          <cell r="BF57">
            <v>-9.4841045847501356E-3</v>
          </cell>
        </row>
        <row r="58">
          <cell r="O58">
            <v>1.1114016689784201</v>
          </cell>
          <cell r="P58">
            <v>1.1080179161000401</v>
          </cell>
          <cell r="Q58">
            <v>1.1014847061123501</v>
          </cell>
          <cell r="U58">
            <v>-5.2818785856892604E-3</v>
          </cell>
          <cell r="V58">
            <v>-1.04699702071437E-2</v>
          </cell>
          <cell r="W58">
            <v>-1.5452970761841701E-2</v>
          </cell>
          <cell r="Y58">
            <v>1.1114016689784201</v>
          </cell>
          <cell r="Z58">
            <v>1.1080179161000401</v>
          </cell>
          <cell r="AA58">
            <v>1.1014847061123501</v>
          </cell>
          <cell r="AE58">
            <v>-5.2818785856892604E-3</v>
          </cell>
          <cell r="AF58">
            <v>-1.04699702071437E-2</v>
          </cell>
          <cell r="AG58">
            <v>-1.5452970761841701E-2</v>
          </cell>
          <cell r="AR58">
            <v>-1.0106959649057791E-2</v>
          </cell>
          <cell r="BC58">
            <v>1.9862947970000749E-3</v>
          </cell>
          <cell r="BF58">
            <v>-8.1206648520577157E-3</v>
          </cell>
        </row>
        <row r="59">
          <cell r="O59">
            <v>1.1114016689784201</v>
          </cell>
          <cell r="P59">
            <v>1.1095840131388599</v>
          </cell>
          <cell r="Q59">
            <v>1.1026760739702699</v>
          </cell>
          <cell r="U59">
            <v>-4.0299767027366599E-3</v>
          </cell>
          <cell r="V59">
            <v>-7.07920229569393E-3</v>
          </cell>
          <cell r="W59">
            <v>-1.29929576922466E-2</v>
          </cell>
          <cell r="Y59">
            <v>1.1114016689784201</v>
          </cell>
          <cell r="Z59">
            <v>1.1095840131388599</v>
          </cell>
          <cell r="AA59">
            <v>1.1026760739702699</v>
          </cell>
          <cell r="AE59">
            <v>-4.0299767027366599E-3</v>
          </cell>
          <cell r="AF59">
            <v>-7.07920229569393E-3</v>
          </cell>
          <cell r="AG59">
            <v>-1.29929576922466E-2</v>
          </cell>
          <cell r="AR59">
            <v>-8.8550577661051805E-3</v>
          </cell>
          <cell r="BC59">
            <v>1.9862947970000749E-3</v>
          </cell>
          <cell r="BF59">
            <v>-6.8687629691051057E-3</v>
          </cell>
        </row>
        <row r="60">
          <cell r="O60">
            <v>1.1114016689784201</v>
          </cell>
          <cell r="P60">
            <v>1.1100166215851399</v>
          </cell>
          <cell r="Q60">
            <v>1.1035874243494399</v>
          </cell>
          <cell r="U60">
            <v>3.65801269279934E-3</v>
          </cell>
          <cell r="V60">
            <v>2.02121128520361E-3</v>
          </cell>
          <cell r="W60">
            <v>-4.2239509909748401E-3</v>
          </cell>
          <cell r="Y60">
            <v>1.1114016689784201</v>
          </cell>
          <cell r="Z60">
            <v>1.1100166215851399</v>
          </cell>
          <cell r="AA60">
            <v>1.1035874243494399</v>
          </cell>
          <cell r="AE60">
            <v>3.65801269279934E-3</v>
          </cell>
          <cell r="AF60">
            <v>2.02121128520361E-3</v>
          </cell>
          <cell r="AG60">
            <v>-4.2239509909748401E-3</v>
          </cell>
          <cell r="AR60">
            <v>-1.1670683705690618E-3</v>
          </cell>
          <cell r="BC60">
            <v>1.9862947970000749E-3</v>
          </cell>
          <cell r="BF60">
            <v>8.1922642643101305E-4</v>
          </cell>
        </row>
        <row r="61">
          <cell r="O61">
            <v>1.1114016689784201</v>
          </cell>
          <cell r="P61">
            <v>1.10968651351729</v>
          </cell>
          <cell r="Q61">
            <v>1.1039451200072199</v>
          </cell>
          <cell r="U61">
            <v>1.07852245606794E-2</v>
          </cell>
          <cell r="V61">
            <v>9.5382306211349195E-3</v>
          </cell>
          <cell r="W61">
            <v>3.72940918756222E-3</v>
          </cell>
          <cell r="Y61">
            <v>1.1114016689784201</v>
          </cell>
          <cell r="Z61">
            <v>1.10968651351729</v>
          </cell>
          <cell r="AA61">
            <v>1.1039451200072199</v>
          </cell>
          <cell r="AE61">
            <v>1.07852245606794E-2</v>
          </cell>
          <cell r="AF61">
            <v>9.5382306211349195E-3</v>
          </cell>
          <cell r="AG61">
            <v>3.72940918756222E-3</v>
          </cell>
          <cell r="AR61">
            <v>5.9601434973110216E-3</v>
          </cell>
          <cell r="BC61">
            <v>1.9862947970000749E-3</v>
          </cell>
          <cell r="BF61">
            <v>7.9464382943110964E-3</v>
          </cell>
        </row>
        <row r="62">
          <cell r="O62">
            <v>1.1114016689784201</v>
          </cell>
          <cell r="P62">
            <v>1.1090624828709701</v>
          </cell>
          <cell r="Q62">
            <v>1.1041819810164</v>
          </cell>
          <cell r="U62">
            <v>1.0483021966411E-2</v>
          </cell>
          <cell r="V62">
            <v>8.9385935951540197E-3</v>
          </cell>
          <cell r="W62">
            <v>3.7512748946437E-3</v>
          </cell>
          <cell r="Y62">
            <v>1.1114016689784201</v>
          </cell>
          <cell r="Z62">
            <v>1.1090624828709701</v>
          </cell>
          <cell r="AA62">
            <v>1.1041819810164</v>
          </cell>
          <cell r="AE62">
            <v>1.0483021966411E-2</v>
          </cell>
          <cell r="AF62">
            <v>8.9385935951540197E-3</v>
          </cell>
          <cell r="AG62">
            <v>3.7512748946437E-3</v>
          </cell>
          <cell r="AR62">
            <v>5.9601434973110216E-3</v>
          </cell>
          <cell r="BC62">
            <v>1.9862947970000749E-3</v>
          </cell>
          <cell r="BF62">
            <v>7.9464382943110964E-3</v>
          </cell>
        </row>
        <row r="63">
          <cell r="O63">
            <v>1.1114016689784201</v>
          </cell>
          <cell r="P63">
            <v>1.1090469741771101</v>
          </cell>
          <cell r="Q63">
            <v>1.10459331450356</v>
          </cell>
          <cell r="U63">
            <v>5.3044194130303203E-3</v>
          </cell>
          <cell r="V63">
            <v>3.19748427441493E-3</v>
          </cell>
          <cell r="W63">
            <v>-1.21279199185276E-3</v>
          </cell>
          <cell r="Y63">
            <v>1.1114016689784201</v>
          </cell>
          <cell r="Z63">
            <v>1.1090469741771101</v>
          </cell>
          <cell r="AA63">
            <v>1.10459331450356</v>
          </cell>
          <cell r="AE63">
            <v>5.3044194130303203E-3</v>
          </cell>
          <cell r="AF63">
            <v>3.19748427441493E-3</v>
          </cell>
          <cell r="AG63">
            <v>-1.21279199185276E-3</v>
          </cell>
          <cell r="AR63">
            <v>5.9601434973110216E-3</v>
          </cell>
          <cell r="BC63">
            <v>1.9862947970000749E-3</v>
          </cell>
          <cell r="BF63">
            <v>7.9464382943110964E-3</v>
          </cell>
        </row>
        <row r="64">
          <cell r="O64">
            <v>1.1114016689784201</v>
          </cell>
          <cell r="P64">
            <v>1.1090422765033301</v>
          </cell>
          <cell r="Q64">
            <v>1.1051807136787599</v>
          </cell>
          <cell r="U64">
            <v>2.38211851731184E-3</v>
          </cell>
          <cell r="V64">
            <v>2.61199673957119E-4</v>
          </cell>
          <cell r="W64">
            <v>-3.7626389826884601E-3</v>
          </cell>
          <cell r="Y64">
            <v>1.1114016689784201</v>
          </cell>
          <cell r="Z64">
            <v>1.1090422765033301</v>
          </cell>
          <cell r="AA64">
            <v>1.1051807136787599</v>
          </cell>
          <cell r="AE64">
            <v>2.38211851731184E-3</v>
          </cell>
          <cell r="AF64">
            <v>2.61199673957119E-4</v>
          </cell>
          <cell r="AG64">
            <v>-3.7626389826884601E-3</v>
          </cell>
          <cell r="AR64">
            <v>5.9601434973110216E-3</v>
          </cell>
          <cell r="BC64">
            <v>1.9862947970000749E-3</v>
          </cell>
          <cell r="BF64">
            <v>7.9464382943110964E-3</v>
          </cell>
        </row>
        <row r="65">
          <cell r="O65">
            <v>1.1114016689784201</v>
          </cell>
          <cell r="P65">
            <v>1.1091161104473299</v>
          </cell>
          <cell r="Q65">
            <v>1.1055860951511101</v>
          </cell>
          <cell r="U65">
            <v>2.3204297827619999E-3</v>
          </cell>
          <cell r="V65">
            <v>1.9527515513070501E-4</v>
          </cell>
          <cell r="W65">
            <v>-3.2926903809873398E-3</v>
          </cell>
          <cell r="Y65">
            <v>1.1114016689784201</v>
          </cell>
          <cell r="Z65">
            <v>1.1091161104473299</v>
          </cell>
          <cell r="AA65">
            <v>1.1055860951511101</v>
          </cell>
          <cell r="AE65">
            <v>2.3204297827619999E-3</v>
          </cell>
          <cell r="AF65">
            <v>1.9527515513070501E-4</v>
          </cell>
          <cell r="AG65">
            <v>-3.2926903809873398E-3</v>
          </cell>
          <cell r="AR65">
            <v>5.9601434973110216E-3</v>
          </cell>
          <cell r="BC65">
            <v>1.9862947970000749E-3</v>
          </cell>
          <cell r="BF65">
            <v>7.9464382943110964E-3</v>
          </cell>
        </row>
        <row r="66">
          <cell r="O66">
            <v>1.1114016689784201</v>
          </cell>
          <cell r="P66">
            <v>1.10914960458496</v>
          </cell>
          <cell r="Q66">
            <v>1.1062447115076399</v>
          </cell>
          <cell r="U66">
            <v>1.4715020165463101E-3</v>
          </cell>
          <cell r="V66">
            <v>-5.8708031898267905E-4</v>
          </cell>
          <cell r="W66">
            <v>-3.7748843286199599E-3</v>
          </cell>
          <cell r="Y66">
            <v>1.1114016689784201</v>
          </cell>
          <cell r="Z66">
            <v>1.10914960458496</v>
          </cell>
          <cell r="AA66">
            <v>1.1062447115076399</v>
          </cell>
          <cell r="AE66">
            <v>1.4715020165463101E-3</v>
          </cell>
          <cell r="AF66">
            <v>-5.8708031898267905E-4</v>
          </cell>
          <cell r="AG66">
            <v>-3.7748843286199599E-3</v>
          </cell>
          <cell r="AR66">
            <v>5.9601434973110216E-3</v>
          </cell>
          <cell r="BC66">
            <v>1.9862947970000749E-3</v>
          </cell>
          <cell r="BF66">
            <v>7.9464382943110964E-3</v>
          </cell>
        </row>
        <row r="67">
          <cell r="O67">
            <v>1.1114016689784201</v>
          </cell>
          <cell r="P67">
            <v>1.10780439297128</v>
          </cell>
          <cell r="Q67">
            <v>1.1067274699184699</v>
          </cell>
          <cell r="U67">
            <v>5.4511223403682996E-3</v>
          </cell>
          <cell r="V67">
            <v>3.4227384949487398E-3</v>
          </cell>
          <cell r="W67">
            <v>8.0027555818747999E-4</v>
          </cell>
          <cell r="Y67">
            <v>1.1114016689784201</v>
          </cell>
          <cell r="Z67">
            <v>1.10780439297128</v>
          </cell>
          <cell r="AA67">
            <v>1.1067274699184699</v>
          </cell>
          <cell r="AE67">
            <v>5.4511223403682996E-3</v>
          </cell>
          <cell r="AF67">
            <v>3.4227384949487398E-3</v>
          </cell>
          <cell r="AG67">
            <v>8.0027555818747999E-4</v>
          </cell>
          <cell r="AR67">
            <v>5.9601434973110216E-3</v>
          </cell>
          <cell r="BC67">
            <v>1.9862947970000749E-3</v>
          </cell>
          <cell r="BF67">
            <v>7.9464382943110964E-3</v>
          </cell>
        </row>
        <row r="68">
          <cell r="O68">
            <v>1.1114016689784201</v>
          </cell>
          <cell r="P68">
            <v>1.1082071431825</v>
          </cell>
          <cell r="Q68">
            <v>1.1081125296412699</v>
          </cell>
          <cell r="U68">
            <v>-8.8801114088642996E-3</v>
          </cell>
          <cell r="V68">
            <v>-1.21220628612362E-2</v>
          </cell>
          <cell r="W68">
            <v>-1.30946595131574E-2</v>
          </cell>
          <cell r="Y68">
            <v>1.1114016689784201</v>
          </cell>
          <cell r="Z68">
            <v>1.1082071431825</v>
          </cell>
          <cell r="AA68">
            <v>1.1081125296412699</v>
          </cell>
          <cell r="AE68">
            <v>-8.8801114088642996E-3</v>
          </cell>
          <cell r="AF68">
            <v>-1.21220628612362E-2</v>
          </cell>
          <cell r="AG68">
            <v>-1.30946595131574E-2</v>
          </cell>
          <cell r="AR68">
            <v>5.9601434973110216E-3</v>
          </cell>
          <cell r="BC68">
            <v>1.9862947970000749E-3</v>
          </cell>
          <cell r="BF68">
            <v>7.9464382943110964E-3</v>
          </cell>
        </row>
        <row r="69">
          <cell r="O69">
            <v>1.1114016689784201</v>
          </cell>
          <cell r="P69">
            <v>1.1077050180835699</v>
          </cell>
          <cell r="Q69">
            <v>1.1086445156112199</v>
          </cell>
          <cell r="U69">
            <v>4.7995161870476299E-4</v>
          </cell>
          <cell r="V69">
            <v>-2.3985087515299599E-3</v>
          </cell>
          <cell r="W69">
            <v>-2.4838877177961499E-3</v>
          </cell>
          <cell r="Y69">
            <v>1.1114016689784201</v>
          </cell>
          <cell r="Z69">
            <v>1.1077050180835699</v>
          </cell>
          <cell r="AA69">
            <v>1.1086445156112199</v>
          </cell>
          <cell r="AE69">
            <v>4.7995161870476299E-4</v>
          </cell>
          <cell r="AF69">
            <v>-2.3985087515299599E-3</v>
          </cell>
          <cell r="AG69">
            <v>-2.4838877177961499E-3</v>
          </cell>
          <cell r="AR69">
            <v>1.5320206524879918E-2</v>
          </cell>
          <cell r="BC69">
            <v>1.9862947970000749E-3</v>
          </cell>
          <cell r="BF69">
            <v>1.7306501321879993E-2</v>
          </cell>
        </row>
        <row r="70">
          <cell r="O70">
            <v>1.1114016689784201</v>
          </cell>
          <cell r="P70">
            <v>1.1079928828685499</v>
          </cell>
          <cell r="Q70">
            <v>1.10900475222684</v>
          </cell>
          <cell r="U70">
            <v>1.06178806564217E-3</v>
          </cell>
          <cell r="V70">
            <v>-2.2698717736864401E-3</v>
          </cell>
          <cell r="W70">
            <v>-1.42208348972487E-3</v>
          </cell>
          <cell r="Y70">
            <v>1.1114016689784201</v>
          </cell>
          <cell r="Z70">
            <v>1.1079928828685499</v>
          </cell>
          <cell r="AA70">
            <v>1.10900475222684</v>
          </cell>
          <cell r="AE70">
            <v>1.06178806564217E-3</v>
          </cell>
          <cell r="AF70">
            <v>-2.2698717736864401E-3</v>
          </cell>
          <cell r="AG70">
            <v>-1.42208348972487E-3</v>
          </cell>
          <cell r="AR70">
            <v>1.5320206524879918E-2</v>
          </cell>
          <cell r="BC70">
            <v>1.9862947970000749E-3</v>
          </cell>
          <cell r="BF70">
            <v>1.7306501321879993E-2</v>
          </cell>
        </row>
        <row r="71">
          <cell r="O71">
            <v>1.1114016689784201</v>
          </cell>
          <cell r="P71">
            <v>1.1096429756959301</v>
          </cell>
          <cell r="Q71">
            <v>1.1096647446066099</v>
          </cell>
          <cell r="U71">
            <v>-4.1112177331989802E-3</v>
          </cell>
          <cell r="V71">
            <v>-7.1830363852647804E-3</v>
          </cell>
          <cell r="W71">
            <v>-6.2702077809079102E-3</v>
          </cell>
          <cell r="Y71">
            <v>1.1114016689784201</v>
          </cell>
          <cell r="Z71">
            <v>1.1096429756959301</v>
          </cell>
          <cell r="AA71">
            <v>1.1096647446066099</v>
          </cell>
          <cell r="AE71">
            <v>-4.1112177331989802E-3</v>
          </cell>
          <cell r="AF71">
            <v>-7.1830363852647804E-3</v>
          </cell>
          <cell r="AG71">
            <v>-6.2702077809079102E-3</v>
          </cell>
          <cell r="AR71">
            <v>1.5320206524879918E-2</v>
          </cell>
          <cell r="BC71">
            <v>1.9862947970000749E-3</v>
          </cell>
          <cell r="BF71">
            <v>1.7306501321879993E-2</v>
          </cell>
        </row>
        <row r="72">
          <cell r="O72">
            <v>1.1114016689784201</v>
          </cell>
          <cell r="P72">
            <v>1.1112481358702899</v>
          </cell>
          <cell r="Q72">
            <v>1.11015530937063</v>
          </cell>
          <cell r="U72">
            <v>-4.0063619931628202E-3</v>
          </cell>
          <cell r="V72">
            <v>-5.5900254771669902E-3</v>
          </cell>
          <cell r="W72">
            <v>-5.5704077283691804E-3</v>
          </cell>
          <cell r="Y72">
            <v>1.1114016689784201</v>
          </cell>
          <cell r="Z72">
            <v>1.1112481358702899</v>
          </cell>
          <cell r="AA72">
            <v>1.11015530937063</v>
          </cell>
          <cell r="AE72">
            <v>-4.0063619931628202E-3</v>
          </cell>
          <cell r="AF72">
            <v>-5.5900254771669902E-3</v>
          </cell>
          <cell r="AG72">
            <v>-5.5704077283691804E-3</v>
          </cell>
          <cell r="AR72">
            <v>1.5320206524879918E-2</v>
          </cell>
          <cell r="BC72">
            <v>1.9862947970000749E-3</v>
          </cell>
          <cell r="BF72">
            <v>1.7306501321879993E-2</v>
          </cell>
        </row>
        <row r="73">
          <cell r="O73">
            <v>1.1114016689784201</v>
          </cell>
          <cell r="P73">
            <v>1.1121294482691999</v>
          </cell>
          <cell r="Q73">
            <v>1.11058821122316</v>
          </cell>
          <cell r="U73">
            <v>-2.6358851253592201E-3</v>
          </cell>
          <cell r="V73">
            <v>-2.7740383405351998E-3</v>
          </cell>
          <cell r="W73">
            <v>-3.7579447895503301E-3</v>
          </cell>
          <cell r="Y73">
            <v>1.1114016689784201</v>
          </cell>
          <cell r="Z73">
            <v>1.1121294482691999</v>
          </cell>
          <cell r="AA73">
            <v>1.11058821122316</v>
          </cell>
          <cell r="AE73">
            <v>-2.6358851253592201E-3</v>
          </cell>
          <cell r="AF73">
            <v>-2.7740383405351998E-3</v>
          </cell>
          <cell r="AG73">
            <v>-3.7579447895503301E-3</v>
          </cell>
          <cell r="AR73">
            <v>1.5320206524879918E-2</v>
          </cell>
          <cell r="BC73">
            <v>1.9862947970000749E-3</v>
          </cell>
          <cell r="BF73">
            <v>1.7306501321879993E-2</v>
          </cell>
        </row>
        <row r="74">
          <cell r="O74">
            <v>1.1114016689784201</v>
          </cell>
          <cell r="P74">
            <v>1.11242747238704</v>
          </cell>
          <cell r="Q74">
            <v>1.1107348744451799</v>
          </cell>
          <cell r="U74">
            <v>-3.0218665106381503E-4</v>
          </cell>
          <cell r="V74">
            <v>3.5242916350880802E-4</v>
          </cell>
          <cell r="W74">
            <v>-1.03437521668421E-3</v>
          </cell>
          <cell r="Y74">
            <v>1.1114016689784201</v>
          </cell>
          <cell r="Z74">
            <v>1.11242747238704</v>
          </cell>
          <cell r="AA74">
            <v>1.1107348744451799</v>
          </cell>
          <cell r="AE74">
            <v>-3.0218665106381503E-4</v>
          </cell>
          <cell r="AF74">
            <v>3.5242916350880802E-4</v>
          </cell>
          <cell r="AG74">
            <v>-1.03437521668421E-3</v>
          </cell>
          <cell r="AR74">
            <v>1.5320206524879918E-2</v>
          </cell>
          <cell r="BC74">
            <v>1.9862947970000749E-3</v>
          </cell>
          <cell r="BF74">
            <v>1.7306501321879993E-2</v>
          </cell>
        </row>
        <row r="75">
          <cell r="O75">
            <v>1.1114016689784201</v>
          </cell>
          <cell r="P75">
            <v>1.11320208173539</v>
          </cell>
          <cell r="Q75">
            <v>1.11115909609136</v>
          </cell>
          <cell r="U75">
            <v>-4.6411351385985599E-3</v>
          </cell>
          <cell r="V75">
            <v>-3.7185791181757102E-3</v>
          </cell>
          <cell r="W75">
            <v>-5.2412733751278796E-3</v>
          </cell>
          <cell r="Y75">
            <v>1.1114016689784201</v>
          </cell>
          <cell r="Z75">
            <v>1.11320208173539</v>
          </cell>
          <cell r="AA75">
            <v>1.11115909609136</v>
          </cell>
          <cell r="AE75">
            <v>-4.6411351385985599E-3</v>
          </cell>
          <cell r="AF75">
            <v>-3.7185791181757102E-3</v>
          </cell>
          <cell r="AG75">
            <v>-5.2412733751278796E-3</v>
          </cell>
          <cell r="AR75">
            <v>1.5320206524879918E-2</v>
          </cell>
          <cell r="BC75">
            <v>1.9862947970000749E-3</v>
          </cell>
          <cell r="BF75">
            <v>1.7306501321879993E-2</v>
          </cell>
        </row>
        <row r="76">
          <cell r="O76">
            <v>1.1114016689784201</v>
          </cell>
          <cell r="P76">
            <v>1.11381652269597</v>
          </cell>
          <cell r="Q76">
            <v>1.11148306364046</v>
          </cell>
          <cell r="U76">
            <v>-4.0498911454974898E-3</v>
          </cell>
          <cell r="V76">
            <v>-2.4312539841769999E-3</v>
          </cell>
          <cell r="W76">
            <v>-4.2681734906506097E-3</v>
          </cell>
          <cell r="Y76">
            <v>1.1114016689784201</v>
          </cell>
          <cell r="Z76">
            <v>1.11381652269597</v>
          </cell>
          <cell r="AA76">
            <v>1.11148306364046</v>
          </cell>
          <cell r="AE76">
            <v>-4.0498911454974898E-3</v>
          </cell>
          <cell r="AF76">
            <v>-2.4312539841769999E-3</v>
          </cell>
          <cell r="AG76">
            <v>-4.2681734906506097E-3</v>
          </cell>
          <cell r="AR76">
            <v>1.5320206524879918E-2</v>
          </cell>
          <cell r="BC76">
            <v>1.9862947970000749E-3</v>
          </cell>
          <cell r="BF76">
            <v>1.7306501321879993E-2</v>
          </cell>
        </row>
        <row r="77">
          <cell r="O77">
            <v>1.1114016689784201</v>
          </cell>
          <cell r="P77">
            <v>1.11521498361613</v>
          </cell>
          <cell r="Q77">
            <v>1.1115096882937101</v>
          </cell>
          <cell r="U77">
            <v>-7.1211502212387796E-3</v>
          </cell>
          <cell r="V77">
            <v>-4.9507071837149898E-3</v>
          </cell>
          <cell r="W77">
            <v>-7.0479168584065503E-3</v>
          </cell>
          <cell r="Y77">
            <v>1.1114016689784201</v>
          </cell>
          <cell r="Z77">
            <v>1.11521498361613</v>
          </cell>
          <cell r="AA77">
            <v>1.1115096882937101</v>
          </cell>
          <cell r="AE77">
            <v>-7.1211502212387796E-3</v>
          </cell>
          <cell r="AF77">
            <v>-4.9507071837149898E-3</v>
          </cell>
          <cell r="AG77">
            <v>-7.0479168584065503E-3</v>
          </cell>
          <cell r="AR77">
            <v>1.5320206524879918E-2</v>
          </cell>
          <cell r="BC77">
            <v>1.9862947970000749E-3</v>
          </cell>
          <cell r="BF77">
            <v>1.7306501321879993E-2</v>
          </cell>
        </row>
        <row r="78">
          <cell r="O78">
            <v>1.1114016689784201</v>
          </cell>
          <cell r="P78">
            <v>1.11484309665284</v>
          </cell>
          <cell r="Q78">
            <v>1.1115251199176699</v>
          </cell>
          <cell r="U78">
            <v>-5.5580741602600401E-3</v>
          </cell>
          <cell r="V78">
            <v>-2.13286096835578E-3</v>
          </cell>
          <cell r="W78">
            <v>-5.4608869152358696E-3</v>
          </cell>
          <cell r="Y78">
            <v>1.1114016689784201</v>
          </cell>
          <cell r="Z78">
            <v>1.11484309665284</v>
          </cell>
          <cell r="AA78">
            <v>1.1115251199176699</v>
          </cell>
          <cell r="AE78">
            <v>-5.5580741602600401E-3</v>
          </cell>
          <cell r="AF78">
            <v>-2.13286096835578E-3</v>
          </cell>
          <cell r="AG78">
            <v>-5.4608869152358696E-3</v>
          </cell>
          <cell r="AR78">
            <v>1.5320206524879918E-2</v>
          </cell>
          <cell r="BC78">
            <v>1.9862947970000749E-3</v>
          </cell>
          <cell r="BF78">
            <v>1.7306501321879993E-2</v>
          </cell>
        </row>
        <row r="79">
          <cell r="O79">
            <v>1.1114016689784201</v>
          </cell>
          <cell r="P79">
            <v>1.11564872814894</v>
          </cell>
          <cell r="Q79">
            <v>1.1116768731162601</v>
          </cell>
          <cell r="U79">
            <v>-6.7461449392157502E-3</v>
          </cell>
          <cell r="V79">
            <v>-3.6544539726140498E-3</v>
          </cell>
          <cell r="W79">
            <v>-6.6350743092758397E-3</v>
          </cell>
          <cell r="Y79">
            <v>1.1114016689784201</v>
          </cell>
          <cell r="Z79">
            <v>1.11564872814894</v>
          </cell>
          <cell r="AA79">
            <v>1.1116768731162601</v>
          </cell>
          <cell r="AE79">
            <v>-6.7461449392157502E-3</v>
          </cell>
          <cell r="AF79">
            <v>-3.6544539726140498E-3</v>
          </cell>
          <cell r="AG79">
            <v>-6.6350743092758397E-3</v>
          </cell>
          <cell r="AR79">
            <v>1.5320206524879918E-2</v>
          </cell>
          <cell r="BC79">
            <v>1.9862947970000749E-3</v>
          </cell>
          <cell r="BF79">
            <v>1.7306501321879993E-2</v>
          </cell>
        </row>
        <row r="80">
          <cell r="O80">
            <v>1.1114016689784201</v>
          </cell>
          <cell r="P80">
            <v>1.11642622581467</v>
          </cell>
          <cell r="Q80">
            <v>1.11220955434161</v>
          </cell>
          <cell r="U80">
            <v>-5.9168857026077404E-3</v>
          </cell>
          <cell r="V80">
            <v>-2.1028145665956599E-3</v>
          </cell>
          <cell r="W80">
            <v>-5.6692973839489102E-3</v>
          </cell>
          <cell r="Y80">
            <v>1.1114016689784201</v>
          </cell>
          <cell r="Z80">
            <v>1.11642622581467</v>
          </cell>
          <cell r="AA80">
            <v>1.11220955434161</v>
          </cell>
          <cell r="AE80">
            <v>-5.9168857026077404E-3</v>
          </cell>
          <cell r="AF80">
            <v>-2.1028145665956599E-3</v>
          </cell>
          <cell r="AG80">
            <v>-5.6692973839489102E-3</v>
          </cell>
          <cell r="AR80">
            <v>1.5320206524879918E-2</v>
          </cell>
          <cell r="BC80">
            <v>1.9862947970000749E-3</v>
          </cell>
          <cell r="BF80">
            <v>1.7306501321879993E-2</v>
          </cell>
        </row>
        <row r="81">
          <cell r="O81">
            <v>1.1114016689784201</v>
          </cell>
          <cell r="P81">
            <v>1.1164400739399301</v>
          </cell>
          <cell r="Q81">
            <v>1.11304152481793</v>
          </cell>
          <cell r="U81">
            <v>-4.2352993703797404E-3</v>
          </cell>
          <cell r="V81">
            <v>2.7543089511007299E-4</v>
          </cell>
          <cell r="W81">
            <v>-3.5086566998737598E-3</v>
          </cell>
          <cell r="Y81">
            <v>1.1114016689784201</v>
          </cell>
          <cell r="Z81">
            <v>1.1164400739399301</v>
          </cell>
          <cell r="AA81">
            <v>1.11304152481793</v>
          </cell>
          <cell r="AE81">
            <v>-4.2352993703797404E-3</v>
          </cell>
          <cell r="AF81">
            <v>2.7543089511007299E-4</v>
          </cell>
          <cell r="AG81">
            <v>-3.5086566998737598E-3</v>
          </cell>
          <cell r="AR81">
            <v>1.5320206524879918E-2</v>
          </cell>
          <cell r="BC81">
            <v>1.9862947970000749E-3</v>
          </cell>
          <cell r="BF81">
            <v>1.7306501321879993E-2</v>
          </cell>
        </row>
        <row r="82">
          <cell r="O82">
            <v>1.1114016689784201</v>
          </cell>
          <cell r="P82">
            <v>1.1160158796790101</v>
          </cell>
          <cell r="Q82">
            <v>1.11363200777465</v>
          </cell>
          <cell r="U82">
            <v>-1.97628399807924E-4</v>
          </cell>
          <cell r="V82">
            <v>4.3255057657814004E-3</v>
          </cell>
          <cell r="W82">
            <v>1.2767685559327501E-3</v>
          </cell>
          <cell r="Y82">
            <v>1.1114016689784201</v>
          </cell>
          <cell r="Z82">
            <v>1.1160158796790101</v>
          </cell>
          <cell r="AA82">
            <v>1.11363200777465</v>
          </cell>
          <cell r="AE82">
            <v>-1.97628399807924E-4</v>
          </cell>
          <cell r="AF82">
            <v>4.3255057657814004E-3</v>
          </cell>
          <cell r="AG82">
            <v>1.2767685559327501E-3</v>
          </cell>
          <cell r="AR82">
            <v>1.5320206524879918E-2</v>
          </cell>
          <cell r="BC82">
            <v>1.9862947970000749E-3</v>
          </cell>
          <cell r="BF82">
            <v>1.7306501321879993E-2</v>
          </cell>
        </row>
        <row r="83">
          <cell r="O83">
            <v>1.1114016689784201</v>
          </cell>
          <cell r="P83">
            <v>1.1159292694601299</v>
          </cell>
          <cell r="Q83">
            <v>1.1140293588646699</v>
          </cell>
          <cell r="U83">
            <v>-1.8583461451332601E-3</v>
          </cell>
          <cell r="V83">
            <v>2.2847632631113799E-3</v>
          </cell>
          <cell r="W83">
            <v>1.4642310085788901E-4</v>
          </cell>
          <cell r="Y83">
            <v>1.1114016689784201</v>
          </cell>
          <cell r="Z83">
            <v>1.1159292694601299</v>
          </cell>
          <cell r="AA83">
            <v>1.1140293588646699</v>
          </cell>
          <cell r="AE83">
            <v>-1.8583461451332601E-3</v>
          </cell>
          <cell r="AF83">
            <v>2.2847632631113799E-3</v>
          </cell>
          <cell r="AG83">
            <v>1.4642310085788901E-4</v>
          </cell>
          <cell r="AR83">
            <v>1.5320206524879918E-2</v>
          </cell>
          <cell r="BC83">
            <v>1.9862947970000749E-3</v>
          </cell>
          <cell r="BF83">
            <v>1.7306501321879993E-2</v>
          </cell>
        </row>
        <row r="84">
          <cell r="O84">
            <v>1.1114016689784201</v>
          </cell>
          <cell r="P84">
            <v>1.1160325192629801</v>
          </cell>
          <cell r="Q84">
            <v>1.1142299958250099</v>
          </cell>
          <cell r="U84">
            <v>-1.23048025145818E-3</v>
          </cell>
          <cell r="V84">
            <v>2.83501952649971E-3</v>
          </cell>
          <cell r="W84">
            <v>1.1310318102786901E-3</v>
          </cell>
          <cell r="Y84">
            <v>1.1114016689784201</v>
          </cell>
          <cell r="Z84">
            <v>1.1160325192629801</v>
          </cell>
          <cell r="AA84">
            <v>1.1142299958250099</v>
          </cell>
          <cell r="AE84">
            <v>-1.23048025145818E-3</v>
          </cell>
          <cell r="AF84">
            <v>2.83501952649971E-3</v>
          </cell>
          <cell r="AG84">
            <v>1.1310318102786901E-3</v>
          </cell>
          <cell r="AR84">
            <v>1.5320206524879918E-2</v>
          </cell>
          <cell r="BC84">
            <v>1.9862947970000749E-3</v>
          </cell>
          <cell r="BF84">
            <v>1.7306501321879993E-2</v>
          </cell>
        </row>
        <row r="85">
          <cell r="O85">
            <v>1.1114016689784201</v>
          </cell>
          <cell r="P85">
            <v>1.11559345719706</v>
          </cell>
          <cell r="Q85">
            <v>1.1143977694662199</v>
          </cell>
          <cell r="U85">
            <v>-7.0115050129524099E-4</v>
          </cell>
          <cell r="V85">
            <v>3.4568686051259499E-3</v>
          </cell>
          <cell r="W85">
            <v>1.8404455892283901E-3</v>
          </cell>
          <cell r="Y85">
            <v>1.1114016689784201</v>
          </cell>
          <cell r="Z85">
            <v>1.11559345719706</v>
          </cell>
          <cell r="AA85">
            <v>1.1143977694662199</v>
          </cell>
          <cell r="AE85">
            <v>-7.0115050129524099E-4</v>
          </cell>
          <cell r="AF85">
            <v>3.4568686051259499E-3</v>
          </cell>
          <cell r="AG85">
            <v>1.8404455892283901E-3</v>
          </cell>
          <cell r="AR85">
            <v>1.5320206524879918E-2</v>
          </cell>
          <cell r="BC85">
            <v>1.9862947970000749E-3</v>
          </cell>
          <cell r="BF85">
            <v>1.7306501321879993E-2</v>
          </cell>
        </row>
        <row r="86">
          <cell r="O86">
            <v>1.1114016689784201</v>
          </cell>
          <cell r="P86">
            <v>1.1153061532881401</v>
          </cell>
          <cell r="Q86">
            <v>1.11456133799205</v>
          </cell>
          <cell r="U86">
            <v>-1.47195998987322E-3</v>
          </cell>
          <cell r="V86">
            <v>2.2925683826902099E-3</v>
          </cell>
          <cell r="W86">
            <v>1.22019838309457E-3</v>
          </cell>
          <cell r="Y86">
            <v>1.1114016689784201</v>
          </cell>
          <cell r="Z86">
            <v>1.1153061532881401</v>
          </cell>
          <cell r="AA86">
            <v>1.11456133799205</v>
          </cell>
          <cell r="AE86">
            <v>-1.47195998987322E-3</v>
          </cell>
          <cell r="AF86">
            <v>2.2925683826902099E-3</v>
          </cell>
          <cell r="AG86">
            <v>1.22019838309457E-3</v>
          </cell>
          <cell r="AR86">
            <v>1.5320206524879918E-2</v>
          </cell>
          <cell r="BC86">
            <v>1.9862947970000749E-3</v>
          </cell>
          <cell r="BF86">
            <v>1.7306501321879993E-2</v>
          </cell>
        </row>
        <row r="87">
          <cell r="O87">
            <v>1.1114016689784201</v>
          </cell>
          <cell r="P87">
            <v>1.1140262871897599</v>
          </cell>
          <cell r="Q87">
            <v>1.11462063540295</v>
          </cell>
          <cell r="U87">
            <v>4.3787905041566197E-3</v>
          </cell>
          <cell r="V87">
            <v>7.8857511142267304E-3</v>
          </cell>
          <cell r="W87">
            <v>7.2177156128395399E-3</v>
          </cell>
          <cell r="Y87">
            <v>1.1114016689784201</v>
          </cell>
          <cell r="Z87">
            <v>1.1140262871897599</v>
          </cell>
          <cell r="AA87">
            <v>1.11462063540295</v>
          </cell>
          <cell r="AE87">
            <v>4.3787905041566197E-3</v>
          </cell>
          <cell r="AF87">
            <v>7.8857511142267304E-3</v>
          </cell>
          <cell r="AG87">
            <v>7.2177156128395399E-3</v>
          </cell>
          <cell r="AR87">
            <v>1.5320206524879918E-2</v>
          </cell>
          <cell r="BC87">
            <v>1.9862947970000749E-3</v>
          </cell>
          <cell r="BF87">
            <v>1.7306501321879993E-2</v>
          </cell>
        </row>
        <row r="88">
          <cell r="O88">
            <v>1.1114016689784201</v>
          </cell>
          <cell r="P88">
            <v>1.1132224273481199</v>
          </cell>
          <cell r="Q88">
            <v>1.11403276200048</v>
          </cell>
          <cell r="U88">
            <v>1.66067641921747E-3</v>
          </cell>
          <cell r="V88">
            <v>4.0194312114859897E-3</v>
          </cell>
          <cell r="W88">
            <v>4.5528025779869403E-3</v>
          </cell>
          <cell r="Y88">
            <v>1.1114016689784201</v>
          </cell>
          <cell r="Z88">
            <v>1.1132224273481199</v>
          </cell>
          <cell r="AA88">
            <v>1.11403276200048</v>
          </cell>
          <cell r="AE88">
            <v>1.66067641921747E-3</v>
          </cell>
          <cell r="AF88">
            <v>4.0194312114859897E-3</v>
          </cell>
          <cell r="AG88">
            <v>4.5528025779869403E-3</v>
          </cell>
          <cell r="AR88">
            <v>1.5320206524879918E-2</v>
          </cell>
          <cell r="BC88">
            <v>1.9862947970000749E-3</v>
          </cell>
          <cell r="BF88">
            <v>1.7306501321879993E-2</v>
          </cell>
        </row>
        <row r="89">
          <cell r="O89">
            <v>1.1114016689784201</v>
          </cell>
          <cell r="P89">
            <v>1.1125313714860201</v>
          </cell>
          <cell r="Q89">
            <v>1.1140900498174799</v>
          </cell>
          <cell r="U89">
            <v>-5.5092287442411398E-4</v>
          </cell>
          <cell r="V89">
            <v>1.0859907769752799E-3</v>
          </cell>
          <cell r="W89">
            <v>1.8136439816826199E-3</v>
          </cell>
          <cell r="Y89">
            <v>1.1114016689784201</v>
          </cell>
          <cell r="Z89">
            <v>1.1125313714860201</v>
          </cell>
          <cell r="AA89">
            <v>1.1140900498174799</v>
          </cell>
          <cell r="AE89">
            <v>-5.5092287442411398E-4</v>
          </cell>
          <cell r="AF89">
            <v>1.0859907769752799E-3</v>
          </cell>
          <cell r="AG89">
            <v>1.8136439816826199E-3</v>
          </cell>
          <cell r="AR89">
            <v>1.5320206524879918E-2</v>
          </cell>
          <cell r="BC89">
            <v>1.9862947970000749E-3</v>
          </cell>
          <cell r="BF89">
            <v>1.7306501321879993E-2</v>
          </cell>
        </row>
        <row r="90">
          <cell r="O90">
            <v>1.1114016689784201</v>
          </cell>
          <cell r="P90">
            <v>1.1114214194960701</v>
          </cell>
          <cell r="Q90">
            <v>1.11392382265537</v>
          </cell>
          <cell r="U90">
            <v>4.0607650105222099E-3</v>
          </cell>
          <cell r="V90">
            <v>5.0767152070579002E-3</v>
          </cell>
          <cell r="W90">
            <v>6.4767543615757801E-3</v>
          </cell>
          <cell r="Y90">
            <v>1.1114016689784201</v>
          </cell>
          <cell r="Z90">
            <v>1.1114214194960701</v>
          </cell>
          <cell r="AA90">
            <v>1.11392382265537</v>
          </cell>
          <cell r="AE90">
            <v>4.0607650105222099E-3</v>
          </cell>
          <cell r="AF90">
            <v>5.0767152070579002E-3</v>
          </cell>
          <cell r="AG90">
            <v>6.4767543615757801E-3</v>
          </cell>
          <cell r="AR90">
            <v>1.5320206524879918E-2</v>
          </cell>
          <cell r="BC90">
            <v>1.9862947970000749E-3</v>
          </cell>
          <cell r="BF90">
            <v>1.7306501321879993E-2</v>
          </cell>
        </row>
        <row r="91">
          <cell r="O91">
            <v>1.1114016689784201</v>
          </cell>
          <cell r="P91">
            <v>1.1110589119376999</v>
          </cell>
          <cell r="Q91">
            <v>1.1137494929388201</v>
          </cell>
          <cell r="U91">
            <v>-9.8208344423407392E-4</v>
          </cell>
          <cell r="V91">
            <v>-9.6431278335186096E-4</v>
          </cell>
          <cell r="W91">
            <v>1.28469035258048E-3</v>
          </cell>
          <cell r="Y91">
            <v>1.1114016689784201</v>
          </cell>
          <cell r="Z91">
            <v>1.1110589119376999</v>
          </cell>
          <cell r="AA91">
            <v>1.1137494929388201</v>
          </cell>
          <cell r="AE91">
            <v>-9.8208344423407392E-4</v>
          </cell>
          <cell r="AF91">
            <v>-9.6431278335186096E-4</v>
          </cell>
          <cell r="AG91">
            <v>1.28469035258048E-3</v>
          </cell>
          <cell r="AR91">
            <v>1.5320206524879918E-2</v>
          </cell>
          <cell r="BC91">
            <v>1.9862947970000749E-3</v>
          </cell>
          <cell r="BF91">
            <v>1.7306501321879993E-2</v>
          </cell>
        </row>
        <row r="92">
          <cell r="O92">
            <v>1.1114016689784201</v>
          </cell>
          <cell r="P92">
            <v>1.1116674190751299</v>
          </cell>
          <cell r="Q92">
            <v>1.11384164937707</v>
          </cell>
          <cell r="U92">
            <v>-5.6567507822888E-3</v>
          </cell>
          <cell r="V92">
            <v>-5.9651990367852103E-3</v>
          </cell>
          <cell r="W92">
            <v>-3.5464898059956E-3</v>
          </cell>
          <cell r="Y92">
            <v>1.1114016689784201</v>
          </cell>
          <cell r="Z92">
            <v>1.1116674190751299</v>
          </cell>
          <cell r="AA92">
            <v>1.11384164937707</v>
          </cell>
          <cell r="AE92">
            <v>-5.6567507822888E-3</v>
          </cell>
          <cell r="AF92">
            <v>-5.9651990367852103E-3</v>
          </cell>
          <cell r="AG92">
            <v>-3.5464898059956E-3</v>
          </cell>
          <cell r="AR92">
            <v>1.5320206524879918E-2</v>
          </cell>
          <cell r="BC92">
            <v>1.9862947970000749E-3</v>
          </cell>
          <cell r="BF92">
            <v>1.7306501321879993E-2</v>
          </cell>
        </row>
        <row r="93">
          <cell r="O93">
            <v>1.1114016689784201</v>
          </cell>
          <cell r="P93">
            <v>1.11178810004092</v>
          </cell>
          <cell r="Q93">
            <v>1.1138586847505201</v>
          </cell>
          <cell r="U93">
            <v>-2.9415879665979001E-3</v>
          </cell>
          <cell r="V93">
            <v>-2.70250399083799E-3</v>
          </cell>
          <cell r="W93">
            <v>-7.4858609898327999E-4</v>
          </cell>
          <cell r="Y93">
            <v>1.1114016689784201</v>
          </cell>
          <cell r="Z93">
            <v>1.11178810004092</v>
          </cell>
          <cell r="AA93">
            <v>1.1138586847505201</v>
          </cell>
          <cell r="AE93">
            <v>-2.9415879665979001E-3</v>
          </cell>
          <cell r="AF93">
            <v>-2.70250399083799E-3</v>
          </cell>
          <cell r="AG93">
            <v>-7.4858609898327999E-4</v>
          </cell>
          <cell r="AR93">
            <v>1.5320206524879918E-2</v>
          </cell>
          <cell r="BC93">
            <v>1.9862947970000749E-3</v>
          </cell>
          <cell r="BF93">
            <v>1.7306501321879993E-2</v>
          </cell>
        </row>
        <row r="94">
          <cell r="O94">
            <v>1.1114016689784201</v>
          </cell>
          <cell r="P94">
            <v>1.11257261038411</v>
          </cell>
          <cell r="Q94">
            <v>1.1143025648235401</v>
          </cell>
          <cell r="U94">
            <v>-8.2558116240061107E-3</v>
          </cell>
          <cell r="V94">
            <v>-7.9081750238613E-3</v>
          </cell>
          <cell r="W94">
            <v>-6.04751562262381E-3</v>
          </cell>
          <cell r="Y94">
            <v>1.1114016689784201</v>
          </cell>
          <cell r="Z94">
            <v>1.11257261038411</v>
          </cell>
          <cell r="AA94">
            <v>1.1143025648235401</v>
          </cell>
          <cell r="AE94">
            <v>-8.2558116240061107E-3</v>
          </cell>
          <cell r="AF94">
            <v>-7.9081750238613E-3</v>
          </cell>
          <cell r="AG94">
            <v>-6.04751562262381E-3</v>
          </cell>
          <cell r="AR94">
            <v>1.5320206524879918E-2</v>
          </cell>
          <cell r="BC94">
            <v>1.9862947970000749E-3</v>
          </cell>
          <cell r="BF94">
            <v>1.7306501321879993E-2</v>
          </cell>
        </row>
        <row r="95">
          <cell r="O95">
            <v>1.1114016689784201</v>
          </cell>
          <cell r="P95">
            <v>1.11301748390498</v>
          </cell>
          <cell r="Q95">
            <v>1.11430547055102</v>
          </cell>
          <cell r="U95">
            <v>-4.6931810849184701E-3</v>
          </cell>
          <cell r="V95">
            <v>-3.6401639482055701E-3</v>
          </cell>
          <cell r="W95">
            <v>-2.0864578341816598E-3</v>
          </cell>
          <cell r="Y95">
            <v>1.1114016689784201</v>
          </cell>
          <cell r="Z95">
            <v>1.11301748390498</v>
          </cell>
          <cell r="AA95">
            <v>1.11430547055102</v>
          </cell>
          <cell r="AE95">
            <v>-4.6931810849184701E-3</v>
          </cell>
          <cell r="AF95">
            <v>-3.6401639482055701E-3</v>
          </cell>
          <cell r="AG95">
            <v>-2.0864578341816598E-3</v>
          </cell>
          <cell r="AR95">
            <v>1.5320206524879918E-2</v>
          </cell>
          <cell r="BC95">
            <v>1.9862947970000749E-3</v>
          </cell>
          <cell r="BF95">
            <v>1.7306501321879993E-2</v>
          </cell>
        </row>
        <row r="96">
          <cell r="O96">
            <v>1.1114016689784201</v>
          </cell>
          <cell r="P96">
            <v>1.11283427748221</v>
          </cell>
          <cell r="Q96">
            <v>1.11407021538518</v>
          </cell>
          <cell r="U96">
            <v>1.7539826448896101E-4</v>
          </cell>
          <cell r="V96">
            <v>1.6281956913215901E-3</v>
          </cell>
          <cell r="W96">
            <v>2.78472917653407E-3</v>
          </cell>
          <cell r="Y96">
            <v>1.1114016689784201</v>
          </cell>
          <cell r="Z96">
            <v>1.11283427748221</v>
          </cell>
          <cell r="AA96">
            <v>1.11407021538518</v>
          </cell>
          <cell r="AE96">
            <v>1.7539826448896101E-4</v>
          </cell>
          <cell r="AF96">
            <v>1.6281956913215901E-3</v>
          </cell>
          <cell r="AG96">
            <v>2.78472917653407E-3</v>
          </cell>
          <cell r="AR96">
            <v>1.5320206524879918E-2</v>
          </cell>
          <cell r="BC96">
            <v>1.9862947970000749E-3</v>
          </cell>
          <cell r="BF96">
            <v>1.7306501321879993E-2</v>
          </cell>
        </row>
        <row r="97">
          <cell r="O97">
            <v>1.1114016689784201</v>
          </cell>
          <cell r="P97">
            <v>1.1139433868802799</v>
          </cell>
          <cell r="Q97">
            <v>1.11398483703502</v>
          </cell>
          <cell r="U97">
            <v>-5.5944790548534797E-3</v>
          </cell>
          <cell r="V97">
            <v>-4.3062985412878401E-3</v>
          </cell>
          <cell r="W97">
            <v>-3.19629312002214E-3</v>
          </cell>
          <cell r="Y97">
            <v>1.1114016689784201</v>
          </cell>
          <cell r="Z97">
            <v>1.1139433868802799</v>
          </cell>
          <cell r="AA97">
            <v>1.11398483703502</v>
          </cell>
          <cell r="AE97">
            <v>-5.5944790548534797E-3</v>
          </cell>
          <cell r="AF97">
            <v>-4.3062985412878401E-3</v>
          </cell>
          <cell r="AG97">
            <v>-3.19629312002214E-3</v>
          </cell>
          <cell r="AR97">
            <v>1.5320206524879918E-2</v>
          </cell>
          <cell r="BC97">
            <v>1.9862947970000749E-3</v>
          </cell>
          <cell r="BF97">
            <v>1.7306501321879993E-2</v>
          </cell>
        </row>
        <row r="98">
          <cell r="O98">
            <v>1.1114016689784201</v>
          </cell>
          <cell r="P98">
            <v>1.1144920594466501</v>
          </cell>
          <cell r="Q98">
            <v>1.1138572433973799</v>
          </cell>
          <cell r="U98">
            <v>-3.2721046864381599E-3</v>
          </cell>
          <cell r="V98">
            <v>-9.8776770199716793E-4</v>
          </cell>
          <cell r="W98">
            <v>-9.5055810583186096E-4</v>
          </cell>
          <cell r="Y98">
            <v>1.1114016689784201</v>
          </cell>
          <cell r="Z98">
            <v>1.1144920594466501</v>
          </cell>
          <cell r="AA98">
            <v>1.1138572433973799</v>
          </cell>
          <cell r="AE98">
            <v>-3.2721046864381599E-3</v>
          </cell>
          <cell r="AF98">
            <v>-9.8776770199716793E-4</v>
          </cell>
          <cell r="AG98">
            <v>-9.5055810583186096E-4</v>
          </cell>
          <cell r="AR98">
            <v>1.5320206524879918E-2</v>
          </cell>
          <cell r="BC98">
            <v>1.9862947970000749E-3</v>
          </cell>
          <cell r="BF98">
            <v>1.7306501321879993E-2</v>
          </cell>
        </row>
        <row r="99">
          <cell r="O99">
            <v>1.1114016689784201</v>
          </cell>
          <cell r="P99">
            <v>1.1150656285487801</v>
          </cell>
          <cell r="Q99">
            <v>1.1137985000174</v>
          </cell>
          <cell r="U99">
            <v>-5.6955962804223796E-3</v>
          </cell>
          <cell r="V99">
            <v>-2.9188307821885599E-3</v>
          </cell>
          <cell r="W99">
            <v>-3.4885942978355499E-3</v>
          </cell>
          <cell r="Y99">
            <v>1.1114016689784201</v>
          </cell>
          <cell r="Z99">
            <v>1.1150656285487801</v>
          </cell>
          <cell r="AA99">
            <v>1.1137985000174</v>
          </cell>
          <cell r="AE99">
            <v>-5.6955962804223796E-3</v>
          </cell>
          <cell r="AF99">
            <v>-2.9188307821885599E-3</v>
          </cell>
          <cell r="AG99">
            <v>-3.4885942978355499E-3</v>
          </cell>
          <cell r="AR99">
            <v>1.5320206524879918E-2</v>
          </cell>
          <cell r="BC99">
            <v>1.9862947970000749E-3</v>
          </cell>
          <cell r="BF99">
            <v>1.7306501321879993E-2</v>
          </cell>
        </row>
        <row r="100">
          <cell r="O100">
            <v>1.1114016689784201</v>
          </cell>
          <cell r="P100">
            <v>1.1162215906783299</v>
          </cell>
          <cell r="Q100">
            <v>1.1138215050872</v>
          </cell>
          <cell r="U100">
            <v>-6.3283417841825196E-3</v>
          </cell>
          <cell r="V100">
            <v>-3.0370624719496002E-3</v>
          </cell>
          <cell r="W100">
            <v>-4.1740798896146699E-3</v>
          </cell>
          <cell r="Y100">
            <v>1.1114016689784201</v>
          </cell>
          <cell r="Z100">
            <v>1.1162215906783299</v>
          </cell>
          <cell r="AA100">
            <v>1.1138215050872</v>
          </cell>
          <cell r="AE100">
            <v>-6.3283417841825196E-3</v>
          </cell>
          <cell r="AF100">
            <v>-3.0370624719496002E-3</v>
          </cell>
          <cell r="AG100">
            <v>-4.1740798896146699E-3</v>
          </cell>
          <cell r="AR100">
            <v>1.5320206524879918E-2</v>
          </cell>
          <cell r="BC100">
            <v>1.9862947970000749E-3</v>
          </cell>
          <cell r="BF100">
            <v>1.7306501321879993E-2</v>
          </cell>
        </row>
        <row r="101">
          <cell r="O101">
            <v>1.1114016689784201</v>
          </cell>
          <cell r="P101">
            <v>1.1166747118658999</v>
          </cell>
          <cell r="Q101">
            <v>1.1138668119018</v>
          </cell>
          <cell r="U101">
            <v>-5.04683366748846E-3</v>
          </cell>
          <cell r="V101">
            <v>-7.1941501559559203E-4</v>
          </cell>
          <cell r="W101">
            <v>-2.8719173796719301E-3</v>
          </cell>
          <cell r="Y101">
            <v>1.1114016689784201</v>
          </cell>
          <cell r="Z101">
            <v>1.1166747118658999</v>
          </cell>
          <cell r="AA101">
            <v>1.1138668119018</v>
          </cell>
          <cell r="AE101">
            <v>-5.04683366748846E-3</v>
          </cell>
          <cell r="AF101">
            <v>-7.1941501559559203E-4</v>
          </cell>
          <cell r="AG101">
            <v>-2.8719173796719301E-3</v>
          </cell>
          <cell r="AR101">
            <v>1.5320206524879918E-2</v>
          </cell>
          <cell r="BC101">
            <v>1.9862947970000749E-3</v>
          </cell>
          <cell r="BF101">
            <v>1.7306501321879993E-2</v>
          </cell>
        </row>
        <row r="102">
          <cell r="O102">
            <v>1.1114016689784201</v>
          </cell>
          <cell r="P102">
            <v>1.11604707306391</v>
          </cell>
          <cell r="Q102">
            <v>1.11385724606952</v>
          </cell>
          <cell r="U102">
            <v>-2.5507638212338499E-5</v>
          </cell>
          <cell r="V102">
            <v>4.7077706080341196E-3</v>
          </cell>
          <cell r="W102">
            <v>2.19008473006087E-3</v>
          </cell>
          <cell r="Y102">
            <v>1.1114016689784201</v>
          </cell>
          <cell r="Z102">
            <v>1.11604707306391</v>
          </cell>
          <cell r="AA102">
            <v>1.11385724606952</v>
          </cell>
          <cell r="AE102">
            <v>-2.5507638212338499E-5</v>
          </cell>
          <cell r="AF102">
            <v>4.7077706080341196E-3</v>
          </cell>
          <cell r="AG102">
            <v>2.19008473006087E-3</v>
          </cell>
          <cell r="AR102">
            <v>1.5320206524879918E-2</v>
          </cell>
          <cell r="BC102">
            <v>1.9862947970000749E-3</v>
          </cell>
          <cell r="BF102">
            <v>1.7306501321879993E-2</v>
          </cell>
        </row>
        <row r="103">
          <cell r="O103">
            <v>1.1114016689784201</v>
          </cell>
          <cell r="P103">
            <v>1.1159577851726099</v>
          </cell>
          <cell r="Q103">
            <v>1.11387294260676</v>
          </cell>
          <cell r="U103">
            <v>-2.1402457850486201E-3</v>
          </cell>
          <cell r="V103">
            <v>2.0308138966117798E-3</v>
          </cell>
          <cell r="W103">
            <v>6.6758596535365904E-5</v>
          </cell>
          <cell r="Y103">
            <v>1.1114016689784201</v>
          </cell>
          <cell r="Z103">
            <v>1.1159577851726099</v>
          </cell>
          <cell r="AA103">
            <v>1.11387294260676</v>
          </cell>
          <cell r="AE103">
            <v>-2.1402457850486201E-3</v>
          </cell>
          <cell r="AF103">
            <v>2.0308138966117798E-3</v>
          </cell>
          <cell r="AG103">
            <v>6.6758596535365904E-5</v>
          </cell>
          <cell r="AR103">
            <v>1.5320206524879918E-2</v>
          </cell>
          <cell r="BC103">
            <v>1.9862947970000749E-3</v>
          </cell>
          <cell r="BF103">
            <v>1.7306501321879993E-2</v>
          </cell>
        </row>
        <row r="104">
          <cell r="O104">
            <v>1.1114016689784201</v>
          </cell>
          <cell r="P104">
            <v>1.11554399525162</v>
          </cell>
          <cell r="Q104">
            <v>1.1140583028178701</v>
          </cell>
          <cell r="U104">
            <v>-4.5564527184649298E-3</v>
          </cell>
          <cell r="V104">
            <v>-4.6539993376200502E-4</v>
          </cell>
          <cell r="W104">
            <v>-2.33535638147254E-3</v>
          </cell>
          <cell r="Y104">
            <v>1.1114016689784201</v>
          </cell>
          <cell r="Z104">
            <v>1.11554399525162</v>
          </cell>
          <cell r="AA104">
            <v>1.1140583028178701</v>
          </cell>
          <cell r="AE104">
            <v>-4.5564527184649298E-3</v>
          </cell>
          <cell r="AF104">
            <v>-4.6539993376200502E-4</v>
          </cell>
          <cell r="AG104">
            <v>-2.33535638147254E-3</v>
          </cell>
          <cell r="AR104">
            <v>1.5320206524879918E-2</v>
          </cell>
          <cell r="BC104">
            <v>1.9862947970000749E-3</v>
          </cell>
          <cell r="BF104">
            <v>1.7306501321879993E-2</v>
          </cell>
        </row>
        <row r="105">
          <cell r="O105">
            <v>1.1114016689784201</v>
          </cell>
          <cell r="P105">
            <v>1.11588441158355</v>
          </cell>
          <cell r="Q105">
            <v>1.1144509477442599</v>
          </cell>
          <cell r="U105">
            <v>-7.7371482521977498E-3</v>
          </cell>
          <cell r="V105">
            <v>-4.0169577534727103E-3</v>
          </cell>
          <cell r="W105">
            <v>-5.3496552080245802E-3</v>
          </cell>
          <cell r="Y105">
            <v>1.1114016689784201</v>
          </cell>
          <cell r="Z105">
            <v>1.11588441158355</v>
          </cell>
          <cell r="AA105">
            <v>1.1144509477442599</v>
          </cell>
          <cell r="AE105">
            <v>-7.7371482521977498E-3</v>
          </cell>
          <cell r="AF105">
            <v>-4.0169577534727103E-3</v>
          </cell>
          <cell r="AG105">
            <v>-5.3496552080245802E-3</v>
          </cell>
          <cell r="AR105">
            <v>1.5320206524879918E-2</v>
          </cell>
          <cell r="BC105">
            <v>1.9862947970000749E-3</v>
          </cell>
          <cell r="BF105">
            <v>1.7306501321879993E-2</v>
          </cell>
        </row>
        <row r="106">
          <cell r="O106">
            <v>1.1114016689784201</v>
          </cell>
          <cell r="P106">
            <v>1.1166718147630399</v>
          </cell>
          <cell r="Q106">
            <v>1.11475304612263</v>
          </cell>
          <cell r="U106">
            <v>-6.8856325766438499E-3</v>
          </cell>
          <cell r="V106">
            <v>-2.8603313842269699E-3</v>
          </cell>
          <cell r="W106">
            <v>-4.1457560452943798E-3</v>
          </cell>
          <cell r="Y106">
            <v>1.1114016689784201</v>
          </cell>
          <cell r="Z106">
            <v>1.1166718147630399</v>
          </cell>
          <cell r="AA106">
            <v>1.11475304612263</v>
          </cell>
          <cell r="AE106">
            <v>-6.8856325766438499E-3</v>
          </cell>
          <cell r="AF106">
            <v>-2.8603313842269699E-3</v>
          </cell>
          <cell r="AG106">
            <v>-4.1457560452943798E-3</v>
          </cell>
          <cell r="AR106">
            <v>1.5320206524879918E-2</v>
          </cell>
          <cell r="BC106">
            <v>1.9862947970000749E-3</v>
          </cell>
          <cell r="BF106">
            <v>1.7306501321879993E-2</v>
          </cell>
        </row>
        <row r="107">
          <cell r="O107">
            <v>1.1114016689784201</v>
          </cell>
          <cell r="P107">
            <v>1.11650357078247</v>
          </cell>
          <cell r="Q107">
            <v>1.11522347883137</v>
          </cell>
          <cell r="U107">
            <v>-4.0879901835413797E-3</v>
          </cell>
          <cell r="V107">
            <v>6.4269365755724602E-4</v>
          </cell>
          <cell r="W107">
            <v>-1.07707665329588E-3</v>
          </cell>
          <cell r="Y107">
            <v>1.1114016689784201</v>
          </cell>
          <cell r="Z107">
            <v>1.11650357078247</v>
          </cell>
          <cell r="AA107">
            <v>1.11522347883137</v>
          </cell>
          <cell r="AE107">
            <v>-4.0879901835413797E-3</v>
          </cell>
          <cell r="AF107">
            <v>6.4269365755724602E-4</v>
          </cell>
          <cell r="AG107">
            <v>-1.07707665329588E-3</v>
          </cell>
          <cell r="AR107">
            <v>1.5320206524879918E-2</v>
          </cell>
          <cell r="BC107">
            <v>1.9862947970000749E-3</v>
          </cell>
          <cell r="BF107">
            <v>1.7306501321879993E-2</v>
          </cell>
        </row>
        <row r="108">
          <cell r="O108">
            <v>1.1114016689784201</v>
          </cell>
          <cell r="P108">
            <v>1.1167058928307001</v>
          </cell>
          <cell r="Q108">
            <v>1.11559897613867</v>
          </cell>
          <cell r="U108">
            <v>-5.0849360261897396E-3</v>
          </cell>
          <cell r="V108">
            <v>-5.0492909293765301E-4</v>
          </cell>
          <cell r="W108">
            <v>-1.6521053049236201E-3</v>
          </cell>
          <cell r="Y108">
            <v>1.1114016689784201</v>
          </cell>
          <cell r="Z108">
            <v>1.1167058928307001</v>
          </cell>
          <cell r="AA108">
            <v>1.11559897613867</v>
          </cell>
          <cell r="AE108">
            <v>-5.0849360261897396E-3</v>
          </cell>
          <cell r="AF108">
            <v>-5.0492909293765301E-4</v>
          </cell>
          <cell r="AG108">
            <v>-1.6521053049236201E-3</v>
          </cell>
          <cell r="AR108">
            <v>1.5320206524879918E-2</v>
          </cell>
          <cell r="BC108">
            <v>1.9862947970000749E-3</v>
          </cell>
          <cell r="BF108">
            <v>1.7306501321879993E-2</v>
          </cell>
        </row>
        <row r="109">
          <cell r="O109">
            <v>1.1114016689784201</v>
          </cell>
          <cell r="P109">
            <v>1.11669756591916</v>
          </cell>
          <cell r="Q109">
            <v>1.11588159723397</v>
          </cell>
          <cell r="U109">
            <v>-5.6210964099855801E-3</v>
          </cell>
          <cell r="V109">
            <v>-8.5989550270043505E-4</v>
          </cell>
          <cell r="W109">
            <v>-1.85162095932057E-3</v>
          </cell>
          <cell r="Y109">
            <v>1.1114016689784201</v>
          </cell>
          <cell r="Z109">
            <v>1.11669756591916</v>
          </cell>
          <cell r="AA109">
            <v>1.11588159723397</v>
          </cell>
          <cell r="AE109">
            <v>-5.6210964099855801E-3</v>
          </cell>
          <cell r="AF109">
            <v>-8.5989550270043505E-4</v>
          </cell>
          <cell r="AG109">
            <v>-1.85162095932057E-3</v>
          </cell>
          <cell r="AR109">
            <v>1.5320206524879918E-2</v>
          </cell>
          <cell r="BC109">
            <v>1.9862947970000749E-3</v>
          </cell>
          <cell r="BF109">
            <v>1.7306501321879993E-2</v>
          </cell>
        </row>
        <row r="110">
          <cell r="O110">
            <v>1.1114016689784201</v>
          </cell>
          <cell r="P110">
            <v>1.11703574393759</v>
          </cell>
          <cell r="Q110">
            <v>1.11662866730796</v>
          </cell>
          <cell r="U110">
            <v>-9.3473912117636605E-3</v>
          </cell>
          <cell r="V110">
            <v>-4.5936470060462496E-3</v>
          </cell>
          <cell r="W110">
            <v>-5.3246121023665903E-3</v>
          </cell>
          <cell r="Y110">
            <v>1.1114016689784201</v>
          </cell>
          <cell r="Z110">
            <v>1.11703574393759</v>
          </cell>
          <cell r="AA110">
            <v>1.11662866730796</v>
          </cell>
          <cell r="AE110">
            <v>-9.3473912117636605E-3</v>
          </cell>
          <cell r="AF110">
            <v>-4.5936470060462496E-3</v>
          </cell>
          <cell r="AG110">
            <v>-5.3246121023665903E-3</v>
          </cell>
          <cell r="AR110">
            <v>1.5320206524879918E-2</v>
          </cell>
          <cell r="BC110">
            <v>1.9862947970000749E-3</v>
          </cell>
          <cell r="BF110">
            <v>1.7306501321879993E-2</v>
          </cell>
        </row>
        <row r="111">
          <cell r="O111">
            <v>1.1114016689784201</v>
          </cell>
          <cell r="P111">
            <v>1.11675386613342</v>
          </cell>
          <cell r="Q111">
            <v>1.11671428899966</v>
          </cell>
          <cell r="U111">
            <v>-2.5201750670038698E-3</v>
          </cell>
          <cell r="V111">
            <v>2.5363608995029301E-3</v>
          </cell>
          <cell r="W111">
            <v>2.1718686937020801E-3</v>
          </cell>
          <cell r="Y111">
            <v>1.1114016689784201</v>
          </cell>
          <cell r="Z111">
            <v>1.11675386613342</v>
          </cell>
          <cell r="AA111">
            <v>1.11671428899966</v>
          </cell>
          <cell r="AE111">
            <v>-2.5201750670038698E-3</v>
          </cell>
          <cell r="AF111">
            <v>2.5363608995029301E-3</v>
          </cell>
          <cell r="AG111">
            <v>2.1718686937020801E-3</v>
          </cell>
          <cell r="AR111">
            <v>1.5320206524879918E-2</v>
          </cell>
          <cell r="BC111">
            <v>1.9862947970000749E-3</v>
          </cell>
          <cell r="BF111">
            <v>1.7306501321879993E-2</v>
          </cell>
        </row>
        <row r="112">
          <cell r="O112">
            <v>1.1114016689784201</v>
          </cell>
          <cell r="P112">
            <v>1.1169211641458801</v>
          </cell>
          <cell r="Q112">
            <v>1.1164841186048899</v>
          </cell>
          <cell r="U112">
            <v>-1.5296259650442201E-3</v>
          </cell>
          <cell r="V112">
            <v>3.2745336770393799E-3</v>
          </cell>
          <cell r="W112">
            <v>3.2390936071420599E-3</v>
          </cell>
          <cell r="Y112">
            <v>1.1114016689784201</v>
          </cell>
          <cell r="Z112">
            <v>1.1169211641458801</v>
          </cell>
          <cell r="AA112">
            <v>1.1164841186048899</v>
          </cell>
          <cell r="AE112">
            <v>-1.5296259650442201E-3</v>
          </cell>
          <cell r="AF112">
            <v>3.2745336770393799E-3</v>
          </cell>
          <cell r="AG112">
            <v>3.2390936071420599E-3</v>
          </cell>
          <cell r="AR112">
            <v>1.5320206524879918E-2</v>
          </cell>
          <cell r="BC112">
            <v>1.9862947970000749E-3</v>
          </cell>
          <cell r="BF112">
            <v>1.7306501321879993E-2</v>
          </cell>
        </row>
        <row r="113">
          <cell r="O113">
            <v>1.1114016689784201</v>
          </cell>
          <cell r="P113">
            <v>1.11730458603967</v>
          </cell>
          <cell r="Q113">
            <v>1.1166311856061399</v>
          </cell>
          <cell r="U113">
            <v>-5.5768530421612004E-3</v>
          </cell>
          <cell r="V113">
            <v>-6.22897202779387E-4</v>
          </cell>
          <cell r="W113">
            <v>-1.01426866584263E-3</v>
          </cell>
          <cell r="Y113">
            <v>1.1114016689784201</v>
          </cell>
          <cell r="Z113">
            <v>1.11730458603967</v>
          </cell>
          <cell r="AA113">
            <v>1.1166311856061399</v>
          </cell>
          <cell r="AE113">
            <v>-5.5768530421612004E-3</v>
          </cell>
          <cell r="AF113">
            <v>-6.22897202779387E-4</v>
          </cell>
          <cell r="AG113">
            <v>-1.01426866584263E-3</v>
          </cell>
          <cell r="AR113">
            <v>1.5320206524879918E-2</v>
          </cell>
          <cell r="BC113">
            <v>1.9862947970000749E-3</v>
          </cell>
          <cell r="BF113">
            <v>1.7306501321879993E-2</v>
          </cell>
        </row>
        <row r="114">
          <cell r="O114">
            <v>1.1114016689784201</v>
          </cell>
          <cell r="P114">
            <v>1.1152864883965701</v>
          </cell>
          <cell r="Q114">
            <v>1.1154152418240999</v>
          </cell>
          <cell r="U114">
            <v>1.36844882270138E-2</v>
          </cell>
          <cell r="V114">
            <v>1.8981669810279499E-2</v>
          </cell>
          <cell r="W114">
            <v>1.83787872543218E-2</v>
          </cell>
          <cell r="Y114">
            <v>1.1114016689784201</v>
          </cell>
          <cell r="Z114">
            <v>1.1152864883965701</v>
          </cell>
          <cell r="AA114">
            <v>1.1154152418240999</v>
          </cell>
          <cell r="AE114">
            <v>1.36844882270138E-2</v>
          </cell>
          <cell r="AF114">
            <v>1.8981669810279499E-2</v>
          </cell>
          <cell r="AG114">
            <v>1.83787872543218E-2</v>
          </cell>
          <cell r="AR114">
            <v>1.5320206524879918E-2</v>
          </cell>
          <cell r="BC114">
            <v>1.9862947970000749E-3</v>
          </cell>
          <cell r="BF114">
            <v>1.7306501321879993E-2</v>
          </cell>
        </row>
        <row r="115">
          <cell r="O115">
            <v>1.1114016689784201</v>
          </cell>
          <cell r="P115">
            <v>1.1124384485141601</v>
          </cell>
          <cell r="Q115">
            <v>1.11416143004886</v>
          </cell>
          <cell r="U115">
            <v>1.8019887780146699E-2</v>
          </cell>
          <cell r="V115">
            <v>2.1509216402019998E-2</v>
          </cell>
          <cell r="W115">
            <v>2.1624654002596701E-2</v>
          </cell>
          <cell r="Y115">
            <v>1.1114016689784201</v>
          </cell>
          <cell r="Z115">
            <v>1.1124384485141601</v>
          </cell>
          <cell r="AA115">
            <v>1.11416143004886</v>
          </cell>
          <cell r="AE115">
            <v>1.8019887780146699E-2</v>
          </cell>
          <cell r="AF115">
            <v>2.1509216402019998E-2</v>
          </cell>
          <cell r="AG115">
            <v>2.1624654002596701E-2</v>
          </cell>
          <cell r="AR115">
            <v>1.5320206524879918E-2</v>
          </cell>
          <cell r="BC115">
            <v>-2.3491047561329265E-3</v>
          </cell>
          <cell r="BF115">
            <v>1.2971101768746992E-2</v>
          </cell>
        </row>
        <row r="116">
          <cell r="O116">
            <v>1.1114016689784201</v>
          </cell>
          <cell r="P116">
            <v>1.11035275442729</v>
          </cell>
          <cell r="Q116">
            <v>1.1135122845951599</v>
          </cell>
          <cell r="U116">
            <v>1.19278005175983E-2</v>
          </cell>
          <cell r="V116">
            <v>1.2860223314276701E-2</v>
          </cell>
          <cell r="W116">
            <v>1.44078582487655E-2</v>
          </cell>
          <cell r="Y116">
            <v>1.1114016689784201</v>
          </cell>
          <cell r="Z116">
            <v>1.11035275442729</v>
          </cell>
          <cell r="AA116">
            <v>1.1135122845951599</v>
          </cell>
          <cell r="AE116">
            <v>1.19278005175983E-2</v>
          </cell>
          <cell r="AF116">
            <v>1.2860223314276701E-2</v>
          </cell>
          <cell r="AG116">
            <v>1.44078582487655E-2</v>
          </cell>
          <cell r="AR116">
            <v>1.5320206524879918E-2</v>
          </cell>
          <cell r="BC116">
            <v>3.7429825064154727E-3</v>
          </cell>
          <cell r="BF116">
            <v>1.9063189031295391E-2</v>
          </cell>
        </row>
        <row r="117">
          <cell r="O117">
            <v>1.1114016689784201</v>
          </cell>
          <cell r="P117">
            <v>1.1100033240726399</v>
          </cell>
          <cell r="Q117">
            <v>1.1132534474275499</v>
          </cell>
          <cell r="U117">
            <v>-9.5185324123606997E-4</v>
          </cell>
          <cell r="V117">
            <v>-1.8960751750484799E-3</v>
          </cell>
          <cell r="W117">
            <v>9.4540327644937797E-4</v>
          </cell>
          <cell r="Y117">
            <v>1.1114016689784201</v>
          </cell>
          <cell r="Z117">
            <v>1.1100033240726399</v>
          </cell>
          <cell r="AA117">
            <v>1.1132534474275499</v>
          </cell>
          <cell r="AE117">
            <v>-9.5185324123606997E-4</v>
          </cell>
          <cell r="AF117">
            <v>-1.8960751750484799E-3</v>
          </cell>
          <cell r="AG117">
            <v>9.4540327644937797E-4</v>
          </cell>
          <cell r="AR117">
            <v>1.5320206524879918E-2</v>
          </cell>
          <cell r="BC117">
            <v>1.6622636265249714E-2</v>
          </cell>
          <cell r="BF117">
            <v>3.1942842790129627E-2</v>
          </cell>
        </row>
        <row r="118">
          <cell r="O118">
            <v>1.1114016689784201</v>
          </cell>
          <cell r="P118">
            <v>1.1082231296605201</v>
          </cell>
          <cell r="Q118">
            <v>1.11246451124561</v>
          </cell>
          <cell r="U118">
            <v>1.09797320822343E-2</v>
          </cell>
          <cell r="V118">
            <v>9.7207585093350996E-3</v>
          </cell>
          <cell r="W118">
            <v>1.26445104680258E-2</v>
          </cell>
          <cell r="Y118">
            <v>1.1114016689784201</v>
          </cell>
          <cell r="Z118">
            <v>1.1082231296605201</v>
          </cell>
          <cell r="AA118">
            <v>1.11246451124561</v>
          </cell>
          <cell r="AE118">
            <v>1.09797320822343E-2</v>
          </cell>
          <cell r="AF118">
            <v>9.7207585093350996E-3</v>
          </cell>
          <cell r="AG118">
            <v>1.26445104680258E-2</v>
          </cell>
          <cell r="AR118">
            <v>1.5320206524879918E-2</v>
          </cell>
          <cell r="BC118">
            <v>1.6622636265249714E-2</v>
          </cell>
          <cell r="BF118">
            <v>3.1942842790129627E-2</v>
          </cell>
        </row>
        <row r="119">
          <cell r="O119">
            <v>1.1114016689784201</v>
          </cell>
          <cell r="P119">
            <v>1.1059738702264199</v>
          </cell>
          <cell r="Q119">
            <v>1.1113357180727901</v>
          </cell>
          <cell r="U119">
            <v>1.4708763641771899E-2</v>
          </cell>
          <cell r="V119">
            <v>1.1844728699862901E-2</v>
          </cell>
          <cell r="W119">
            <v>1.5664614634571399E-2</v>
          </cell>
          <cell r="Y119">
            <v>1.1114016689784201</v>
          </cell>
          <cell r="Z119">
            <v>1.1059738702264199</v>
          </cell>
          <cell r="AA119">
            <v>1.1113357180727901</v>
          </cell>
          <cell r="AE119">
            <v>1.4708763641771899E-2</v>
          </cell>
          <cell r="AF119">
            <v>1.1844728699862901E-2</v>
          </cell>
          <cell r="AG119">
            <v>1.5664614634571399E-2</v>
          </cell>
          <cell r="AR119">
            <v>1.5320206524879918E-2</v>
          </cell>
          <cell r="BC119">
            <v>1.2893604705712283E-2</v>
          </cell>
          <cell r="BF119">
            <v>2.8213811230592196E-2</v>
          </cell>
        </row>
        <row r="120">
          <cell r="O120">
            <v>1.1114016689784201</v>
          </cell>
          <cell r="P120">
            <v>1.1035541235205399</v>
          </cell>
          <cell r="Q120">
            <v>1.11029493372906</v>
          </cell>
          <cell r="U120">
            <v>1.2458093197964501E-2</v>
          </cell>
          <cell r="V120">
            <v>7.56238699292757E-3</v>
          </cell>
          <cell r="W120">
            <v>1.2398751139803399E-2</v>
          </cell>
          <cell r="Y120">
            <v>1.1114016689784201</v>
          </cell>
          <cell r="Z120">
            <v>1.1035541235205399</v>
          </cell>
          <cell r="AA120">
            <v>1.11029493372906</v>
          </cell>
          <cell r="AE120">
            <v>1.2458093197964501E-2</v>
          </cell>
          <cell r="AF120">
            <v>7.56238699292757E-3</v>
          </cell>
          <cell r="AG120">
            <v>1.2398751139803399E-2</v>
          </cell>
          <cell r="AR120">
            <v>1.5320206524879918E-2</v>
          </cell>
          <cell r="BC120">
            <v>1.514427514951918E-2</v>
          </cell>
          <cell r="BF120">
            <v>3.0464481674399094E-2</v>
          </cell>
        </row>
        <row r="121">
          <cell r="O121">
            <v>1.1114016689784201</v>
          </cell>
          <cell r="P121">
            <v>1.1022033462557099</v>
          </cell>
          <cell r="Q121">
            <v>1.1094786061945701</v>
          </cell>
          <cell r="U121">
            <v>9.6771365690487797E-3</v>
          </cell>
          <cell r="V121">
            <v>2.5911456696373E-3</v>
          </cell>
          <cell r="W121">
            <v>8.6808391092106901E-3</v>
          </cell>
          <cell r="Y121">
            <v>1.1114016689784201</v>
          </cell>
          <cell r="Z121">
            <v>1.1022033462557099</v>
          </cell>
          <cell r="AA121">
            <v>1.1094786061945701</v>
          </cell>
          <cell r="AE121">
            <v>9.6771365690487797E-3</v>
          </cell>
          <cell r="AF121">
            <v>2.5911456696373E-3</v>
          </cell>
          <cell r="AG121">
            <v>8.6808391092106901E-3</v>
          </cell>
          <cell r="AR121">
            <v>1.5320206524879918E-2</v>
          </cell>
          <cell r="BC121">
            <v>1.7925231778434879E-2</v>
          </cell>
          <cell r="BF121">
            <v>3.3245438303314792E-2</v>
          </cell>
        </row>
        <row r="122">
          <cell r="O122">
            <v>1.1114016689784201</v>
          </cell>
          <cell r="P122">
            <v>1.1000195983355601</v>
          </cell>
          <cell r="Q122">
            <v>1.1084703812407199</v>
          </cell>
          <cell r="U122">
            <v>1.8283933723010699E-2</v>
          </cell>
          <cell r="V122">
            <v>9.9731686113955203E-3</v>
          </cell>
          <cell r="W122">
            <v>1.6552130990572799E-2</v>
          </cell>
          <cell r="Y122">
            <v>1.1114016689784201</v>
          </cell>
          <cell r="Z122">
            <v>1.1000195983355601</v>
          </cell>
          <cell r="AA122">
            <v>1.1084703812407199</v>
          </cell>
          <cell r="AE122">
            <v>1.8283933723010699E-2</v>
          </cell>
          <cell r="AF122">
            <v>9.9731686113955203E-3</v>
          </cell>
          <cell r="AG122">
            <v>1.6552130990572799E-2</v>
          </cell>
          <cell r="AR122">
            <v>1.5320206524879918E-2</v>
          </cell>
          <cell r="BC122">
            <v>9.3184346244728766E-3</v>
          </cell>
          <cell r="BF122">
            <v>2.463864114935279E-2</v>
          </cell>
        </row>
        <row r="123">
          <cell r="O123">
            <v>1.1114016689784201</v>
          </cell>
          <cell r="P123">
            <v>1.0984963473968701</v>
          </cell>
          <cell r="Q123">
            <v>1.1079004667182699</v>
          </cell>
          <cell r="U123">
            <v>8.14633320384546E-3</v>
          </cell>
          <cell r="V123">
            <v>-2.1476540345514599E-3</v>
          </cell>
          <cell r="W123">
            <v>5.5053796938126804E-3</v>
          </cell>
          <cell r="Y123">
            <v>1.1114016689784201</v>
          </cell>
          <cell r="Z123">
            <v>1.0984963473968701</v>
          </cell>
          <cell r="AA123">
            <v>1.1079004667182699</v>
          </cell>
          <cell r="AE123">
            <v>8.14633320384546E-3</v>
          </cell>
          <cell r="AF123">
            <v>-2.1476540345514599E-3</v>
          </cell>
          <cell r="AG123">
            <v>5.5053796938126804E-3</v>
          </cell>
          <cell r="AR123">
            <v>1.5320206524879918E-2</v>
          </cell>
          <cell r="BC123">
            <v>1.9456035143638126E-2</v>
          </cell>
          <cell r="BF123">
            <v>3.4776241668518039E-2</v>
          </cell>
        </row>
        <row r="124">
          <cell r="O124">
            <v>1.1114016689784201</v>
          </cell>
          <cell r="P124">
            <v>1.10022453160157</v>
          </cell>
          <cell r="Q124">
            <v>1.1077555099990699</v>
          </cell>
          <cell r="U124">
            <v>-1.9563953361815302E-3</v>
          </cell>
          <cell r="V124">
            <v>-1.3636091134379E-2</v>
          </cell>
          <cell r="W124">
            <v>-5.1116260805793602E-3</v>
          </cell>
          <cell r="Y124">
            <v>1.1114016689784201</v>
          </cell>
          <cell r="Z124">
            <v>1.10022453160157</v>
          </cell>
          <cell r="AA124">
            <v>1.1077555099990699</v>
          </cell>
          <cell r="AE124">
            <v>-1.9563953361815302E-3</v>
          </cell>
          <cell r="AF124">
            <v>-1.3636091134379E-2</v>
          </cell>
          <cell r="AG124">
            <v>-5.1116260805793602E-3</v>
          </cell>
          <cell r="AR124">
            <v>1.5320206524879918E-2</v>
          </cell>
          <cell r="BC124">
            <v>2.9558763683665227E-2</v>
          </cell>
          <cell r="BF124">
            <v>4.4878970208545144E-2</v>
          </cell>
        </row>
        <row r="125">
          <cell r="O125">
            <v>1.1114016689784201</v>
          </cell>
          <cell r="P125">
            <v>1.10286180909056</v>
          </cell>
          <cell r="Q125">
            <v>1.1076501288023599</v>
          </cell>
          <cell r="U125">
            <v>-5.8536257462747897E-3</v>
          </cell>
          <cell r="V125">
            <v>-1.59613306864319E-2</v>
          </cell>
          <cell r="W125">
            <v>-9.1397041682264295E-3</v>
          </cell>
          <cell r="Y125">
            <v>1.1114016689784201</v>
          </cell>
          <cell r="Z125">
            <v>1.10286180909056</v>
          </cell>
          <cell r="AA125">
            <v>1.1076501288023599</v>
          </cell>
          <cell r="AE125">
            <v>-5.8536257462747897E-3</v>
          </cell>
          <cell r="AF125">
            <v>-1.59613306864319E-2</v>
          </cell>
          <cell r="AG125">
            <v>-9.1397041682264295E-3</v>
          </cell>
          <cell r="AR125">
            <v>1.5320206524879918E-2</v>
          </cell>
          <cell r="BC125">
            <v>2.9558763683665227E-2</v>
          </cell>
          <cell r="BF125">
            <v>4.4878970208545144E-2</v>
          </cell>
        </row>
        <row r="126">
          <cell r="O126">
            <v>1.1114016689784201</v>
          </cell>
          <cell r="P126">
            <v>1.1047482859425</v>
          </cell>
          <cell r="Q126">
            <v>1.1075505201848901</v>
          </cell>
          <cell r="U126">
            <v>-5.1038597936852699E-3</v>
          </cell>
          <cell r="V126">
            <v>-1.28173973332994E-2</v>
          </cell>
          <cell r="W126">
            <v>-8.4850731154898391E-3</v>
          </cell>
          <cell r="Y126">
            <v>1.1114016689784201</v>
          </cell>
          <cell r="Z126">
            <v>1.1047482859425</v>
          </cell>
          <cell r="AA126">
            <v>1.1075505201848901</v>
          </cell>
          <cell r="AE126">
            <v>-5.1038597936852699E-3</v>
          </cell>
          <cell r="AF126">
            <v>-1.28173973332994E-2</v>
          </cell>
          <cell r="AG126">
            <v>-8.4850731154898391E-3</v>
          </cell>
          <cell r="AR126">
            <v>1.5320206524879918E-2</v>
          </cell>
          <cell r="BC126">
            <v>2.9558763683665227E-2</v>
          </cell>
          <cell r="BF126">
            <v>4.4878970208545144E-2</v>
          </cell>
        </row>
        <row r="127">
          <cell r="O127">
            <v>1.1114016689784201</v>
          </cell>
          <cell r="P127">
            <v>1.10546620740843</v>
          </cell>
          <cell r="Q127">
            <v>1.1077347657405401</v>
          </cell>
          <cell r="U127">
            <v>-7.3845771608850299E-3</v>
          </cell>
          <cell r="V127">
            <v>-1.3389047220358601E-2</v>
          </cell>
          <cell r="W127">
            <v>-1.08557223970562E-2</v>
          </cell>
          <cell r="Y127">
            <v>1.1114016689784201</v>
          </cell>
          <cell r="Z127">
            <v>1.10546620740843</v>
          </cell>
          <cell r="AA127">
            <v>1.1077347657405401</v>
          </cell>
          <cell r="AE127">
            <v>-7.3845771608850299E-3</v>
          </cell>
          <cell r="AF127">
            <v>-1.3389047220358601E-2</v>
          </cell>
          <cell r="AG127">
            <v>-1.08557223970562E-2</v>
          </cell>
          <cell r="AR127">
            <v>1.5320206524879918E-2</v>
          </cell>
          <cell r="BC127">
            <v>2.9558763683665227E-2</v>
          </cell>
          <cell r="BF127">
            <v>4.4878970208545144E-2</v>
          </cell>
        </row>
        <row r="128">
          <cell r="O128">
            <v>1.1114016689784201</v>
          </cell>
          <cell r="P128">
            <v>1.1071656712537301</v>
          </cell>
          <cell r="Q128">
            <v>1.1076944004571201</v>
          </cell>
          <cell r="U128">
            <v>-4.3619738488085901E-3</v>
          </cell>
          <cell r="V128">
            <v>-9.7168042526345495E-3</v>
          </cell>
          <cell r="W128">
            <v>-7.6667788332395398E-3</v>
          </cell>
          <cell r="Y128">
            <v>1.1114016689784201</v>
          </cell>
          <cell r="Z128">
            <v>1.1071656712537301</v>
          </cell>
          <cell r="AA128">
            <v>1.1076944004571201</v>
          </cell>
          <cell r="AE128">
            <v>-4.3619738488085901E-3</v>
          </cell>
          <cell r="AF128">
            <v>-9.7168042526345495E-3</v>
          </cell>
          <cell r="AG128">
            <v>-7.6667788332395398E-3</v>
          </cell>
          <cell r="AR128">
            <v>1.834280983695652E-2</v>
          </cell>
          <cell r="BC128">
            <v>2.9558763683665227E-2</v>
          </cell>
          <cell r="BF128">
            <v>4.7901573520621743E-2</v>
          </cell>
        </row>
        <row r="129">
          <cell r="O129">
            <v>1.1114016689784201</v>
          </cell>
          <cell r="P129">
            <v>1.1089934262688299</v>
          </cell>
          <cell r="Q129">
            <v>1.10748364824762</v>
          </cell>
          <cell r="U129">
            <v>-1.8426776299482401E-3</v>
          </cell>
          <cell r="V129">
            <v>-5.6613607913193996E-3</v>
          </cell>
          <cell r="W129">
            <v>-5.1839227624394602E-3</v>
          </cell>
          <cell r="Y129">
            <v>1.1114016689784201</v>
          </cell>
          <cell r="Z129">
            <v>1.1089934262688299</v>
          </cell>
          <cell r="AA129">
            <v>1.10748364824762</v>
          </cell>
          <cell r="AE129">
            <v>-1.8426776299482401E-3</v>
          </cell>
          <cell r="AF129">
            <v>-5.6613607913193996E-3</v>
          </cell>
          <cell r="AG129">
            <v>-5.1839227624394602E-3</v>
          </cell>
          <cell r="AR129">
            <v>2.0862106055816822E-2</v>
          </cell>
          <cell r="BC129">
            <v>2.9558763683665227E-2</v>
          </cell>
          <cell r="BF129">
            <v>5.0420869739482045E-2</v>
          </cell>
        </row>
        <row r="130">
          <cell r="O130">
            <v>1.1114016689784201</v>
          </cell>
          <cell r="P130">
            <v>1.1101706356967</v>
          </cell>
          <cell r="Q130">
            <v>1.1068623796086201</v>
          </cell>
          <cell r="U130">
            <v>1.79029905024551E-3</v>
          </cell>
          <cell r="V130">
            <v>-3.7890377232045302E-4</v>
          </cell>
          <cell r="W130">
            <v>-1.7412262362570699E-3</v>
          </cell>
          <cell r="Y130">
            <v>1.1114016689784201</v>
          </cell>
          <cell r="Z130">
            <v>1.1101706356967</v>
          </cell>
          <cell r="AA130">
            <v>1.1068623796086201</v>
          </cell>
          <cell r="AE130">
            <v>1.79029905024551E-3</v>
          </cell>
          <cell r="AF130">
            <v>-3.7890377232045302E-4</v>
          </cell>
          <cell r="AG130">
            <v>-1.7412262362570699E-3</v>
          </cell>
          <cell r="AR130">
            <v>2.4495082736010632E-2</v>
          </cell>
          <cell r="BC130">
            <v>2.9558763683665227E-2</v>
          </cell>
          <cell r="BF130">
            <v>5.4053846419675852E-2</v>
          </cell>
        </row>
        <row r="131">
          <cell r="O131">
            <v>1.1114016689784201</v>
          </cell>
          <cell r="P131">
            <v>1.11111618476353</v>
          </cell>
          <cell r="Q131">
            <v>1.10665976550962</v>
          </cell>
          <cell r="U131">
            <v>1.12337769396828E-3</v>
          </cell>
          <cell r="V131">
            <v>1.5123503788388801E-5</v>
          </cell>
          <cell r="W131">
            <v>-2.9692781904574598E-3</v>
          </cell>
          <cell r="Y131">
            <v>1.1114016689784201</v>
          </cell>
          <cell r="Z131">
            <v>1.11111618476353</v>
          </cell>
          <cell r="AA131">
            <v>1.10665976550962</v>
          </cell>
          <cell r="AE131">
            <v>1.12337769396828E-3</v>
          </cell>
          <cell r="AF131">
            <v>1.5123503788388801E-5</v>
          </cell>
          <cell r="AG131">
            <v>-2.9692781904574598E-3</v>
          </cell>
          <cell r="AR131">
            <v>2.4495082736010632E-2</v>
          </cell>
          <cell r="BC131">
            <v>2.9558763683665227E-2</v>
          </cell>
          <cell r="BF131">
            <v>5.4053846419675852E-2</v>
          </cell>
        </row>
        <row r="132">
          <cell r="O132">
            <v>1.1114016689784201</v>
          </cell>
          <cell r="P132">
            <v>1.1132998677802199</v>
          </cell>
          <cell r="Q132">
            <v>1.10665973305789</v>
          </cell>
          <cell r="U132">
            <v>-1.5290428789151299E-3</v>
          </cell>
          <cell r="V132">
            <v>-1.78594449702799E-3</v>
          </cell>
          <cell r="W132">
            <v>-5.8047681760466296E-3</v>
          </cell>
          <cell r="Y132">
            <v>1.1114016689784201</v>
          </cell>
          <cell r="Z132">
            <v>1.1132998677802199</v>
          </cell>
          <cell r="AA132">
            <v>1.10665973305789</v>
          </cell>
          <cell r="AE132">
            <v>-1.5290428789151299E-3</v>
          </cell>
          <cell r="AF132">
            <v>-1.78594449702799E-3</v>
          </cell>
          <cell r="AG132">
            <v>-5.8047681760466296E-3</v>
          </cell>
          <cell r="AR132">
            <v>2.4495082736010632E-2</v>
          </cell>
          <cell r="BC132">
            <v>2.9558763683665227E-2</v>
          </cell>
          <cell r="BF132">
            <v>5.4053846419675852E-2</v>
          </cell>
        </row>
        <row r="133">
          <cell r="O133">
            <v>1.1114016689784201</v>
          </cell>
          <cell r="P133">
            <v>1.1139098927730899</v>
          </cell>
          <cell r="Q133">
            <v>1.10620312008498</v>
          </cell>
          <cell r="U133">
            <v>2.62790205645997E-3</v>
          </cell>
          <cell r="V133">
            <v>4.3343774924425897E-3</v>
          </cell>
          <cell r="W133">
            <v>-1.6478525647129201E-3</v>
          </cell>
          <cell r="Y133">
            <v>1.1114016689784201</v>
          </cell>
          <cell r="Z133">
            <v>1.1139098927730899</v>
          </cell>
          <cell r="AA133">
            <v>1.10620312008498</v>
          </cell>
          <cell r="AE133">
            <v>2.62790205645997E-3</v>
          </cell>
          <cell r="AF133">
            <v>4.3343774924425897E-3</v>
          </cell>
          <cell r="AG133">
            <v>-1.6478525647129201E-3</v>
          </cell>
          <cell r="AR133">
            <v>2.4495082736010632E-2</v>
          </cell>
          <cell r="BC133">
            <v>2.9558763683665227E-2</v>
          </cell>
          <cell r="BF133">
            <v>5.4053846419675852E-2</v>
          </cell>
        </row>
        <row r="134">
          <cell r="O134">
            <v>1.1114016689784201</v>
          </cell>
          <cell r="P134">
            <v>1.1136653950729101</v>
          </cell>
          <cell r="Q134">
            <v>1.1069449633372399</v>
          </cell>
          <cell r="U134">
            <v>2.41622884403993E-4</v>
          </cell>
          <cell r="V134">
            <v>2.49589136523804E-3</v>
          </cell>
          <cell r="W134">
            <v>-4.4468215505440202E-3</v>
          </cell>
          <cell r="Y134">
            <v>1.1114016689784201</v>
          </cell>
          <cell r="Z134">
            <v>1.1136653950729101</v>
          </cell>
          <cell r="AA134">
            <v>1.1069449633372399</v>
          </cell>
          <cell r="AE134">
            <v>2.41622884403993E-4</v>
          </cell>
          <cell r="AF134">
            <v>2.49589136523804E-3</v>
          </cell>
          <cell r="AG134">
            <v>-4.4468215505440202E-3</v>
          </cell>
          <cell r="AR134">
            <v>2.4495082736010632E-2</v>
          </cell>
          <cell r="BC134">
            <v>2.9558763683665227E-2</v>
          </cell>
          <cell r="BF134">
            <v>5.4053846419675852E-2</v>
          </cell>
        </row>
        <row r="135">
          <cell r="O135">
            <v>1.1114016689784201</v>
          </cell>
          <cell r="P135">
            <v>1.11309044513571</v>
          </cell>
          <cell r="Q135">
            <v>1.1079761271131301</v>
          </cell>
          <cell r="U135">
            <v>-6.9735185199770603E-4</v>
          </cell>
          <cell r="V135">
            <v>1.3373974929473901E-3</v>
          </cell>
          <cell r="W135">
            <v>-4.7153998633147698E-3</v>
          </cell>
          <cell r="Y135">
            <v>1.1114016689784201</v>
          </cell>
          <cell r="Z135">
            <v>1.11309044513571</v>
          </cell>
          <cell r="AA135">
            <v>1.1079761271131301</v>
          </cell>
          <cell r="AE135">
            <v>-6.9735185199770603E-4</v>
          </cell>
          <cell r="AF135">
            <v>1.3373974929473901E-3</v>
          </cell>
          <cell r="AG135">
            <v>-4.7153998633147698E-3</v>
          </cell>
          <cell r="AR135">
            <v>2.4495082736010632E-2</v>
          </cell>
          <cell r="BC135">
            <v>2.9558763683665227E-2</v>
          </cell>
          <cell r="BF135">
            <v>5.4053846419675852E-2</v>
          </cell>
        </row>
        <row r="136">
          <cell r="O136">
            <v>1.1114016689784201</v>
          </cell>
          <cell r="P136">
            <v>1.1129833662859601</v>
          </cell>
          <cell r="Q136">
            <v>1.1088658261142299</v>
          </cell>
          <cell r="U136">
            <v>-4.1448472121252697E-3</v>
          </cell>
          <cell r="V136">
            <v>-2.6264992970955301E-3</v>
          </cell>
          <cell r="W136">
            <v>-7.2317885986183999E-3</v>
          </cell>
          <cell r="Y136">
            <v>1.1114016689784201</v>
          </cell>
          <cell r="Z136">
            <v>1.1129833662859601</v>
          </cell>
          <cell r="AA136">
            <v>1.1088658261142299</v>
          </cell>
          <cell r="AE136">
            <v>-4.1448472121252697E-3</v>
          </cell>
          <cell r="AF136">
            <v>-2.6264992970955301E-3</v>
          </cell>
          <cell r="AG136">
            <v>-7.2317885986183999E-3</v>
          </cell>
          <cell r="AR136">
            <v>2.4495082736010632E-2</v>
          </cell>
          <cell r="BC136">
            <v>2.9558763683665227E-2</v>
          </cell>
          <cell r="BF136">
            <v>5.4053846419675852E-2</v>
          </cell>
        </row>
        <row r="137">
          <cell r="O137">
            <v>1.1114016689784201</v>
          </cell>
          <cell r="P137">
            <v>1.11252283319262</v>
          </cell>
          <cell r="Q137">
            <v>1.10899452030052</v>
          </cell>
          <cell r="U137">
            <v>-3.2628671951559301E-3</v>
          </cell>
          <cell r="V137">
            <v>-1.8407235023620201E-3</v>
          </cell>
          <cell r="W137">
            <v>-5.5471360703614296E-3</v>
          </cell>
          <cell r="Y137">
            <v>1.1114016689784201</v>
          </cell>
          <cell r="Z137">
            <v>1.11252283319262</v>
          </cell>
          <cell r="AA137">
            <v>1.10899452030052</v>
          </cell>
          <cell r="AE137">
            <v>-3.2628671951559301E-3</v>
          </cell>
          <cell r="AF137">
            <v>-1.8407235023620201E-3</v>
          </cell>
          <cell r="AG137">
            <v>-5.5471360703614296E-3</v>
          </cell>
          <cell r="AR137">
            <v>2.4495082736010632E-2</v>
          </cell>
          <cell r="BC137">
            <v>2.9558763683665227E-2</v>
          </cell>
          <cell r="BF137">
            <v>5.4053846419675852E-2</v>
          </cell>
        </row>
        <row r="138">
          <cell r="O138">
            <v>1.1114016689784201</v>
          </cell>
          <cell r="P138">
            <v>1.11274838095033</v>
          </cell>
          <cell r="Q138">
            <v>1.10995702610203</v>
          </cell>
          <cell r="U138">
            <v>-6.3805014703557303E-3</v>
          </cell>
          <cell r="V138">
            <v>-5.3722259573284296E-3</v>
          </cell>
          <cell r="W138">
            <v>-8.5487177846796693E-3</v>
          </cell>
          <cell r="Y138">
            <v>1.1114016689784201</v>
          </cell>
          <cell r="Z138">
            <v>1.11274838095033</v>
          </cell>
          <cell r="AA138">
            <v>1.10995702610203</v>
          </cell>
          <cell r="AE138">
            <v>-6.3805014703557303E-3</v>
          </cell>
          <cell r="AF138">
            <v>-5.3722259573284296E-3</v>
          </cell>
          <cell r="AG138">
            <v>-8.5487177846796693E-3</v>
          </cell>
          <cell r="AR138">
            <v>2.4495082736010632E-2</v>
          </cell>
          <cell r="BC138">
            <v>2.9558763683665227E-2</v>
          </cell>
          <cell r="BF138">
            <v>5.4053846419675852E-2</v>
          </cell>
        </row>
        <row r="139">
          <cell r="O139">
            <v>1.1114016689784201</v>
          </cell>
          <cell r="P139">
            <v>1.11289839072292</v>
          </cell>
          <cell r="Q139">
            <v>1.1109459084958699</v>
          </cell>
          <cell r="U139">
            <v>-3.18902106115385E-3</v>
          </cell>
          <cell r="V139">
            <v>-1.97803069966158E-3</v>
          </cell>
          <cell r="W139">
            <v>-4.4897052624580901E-3</v>
          </cell>
          <cell r="Y139">
            <v>1.1114016689784201</v>
          </cell>
          <cell r="Z139">
            <v>1.11289839072292</v>
          </cell>
          <cell r="AA139">
            <v>1.1109459084958699</v>
          </cell>
          <cell r="AE139">
            <v>-3.18902106115385E-3</v>
          </cell>
          <cell r="AF139">
            <v>-1.97803069966158E-3</v>
          </cell>
          <cell r="AG139">
            <v>-4.4897052624580901E-3</v>
          </cell>
          <cell r="AR139">
            <v>2.4495082736010632E-2</v>
          </cell>
          <cell r="BC139">
            <v>2.9558763683665227E-2</v>
          </cell>
          <cell r="BF139">
            <v>5.4053846419675852E-2</v>
          </cell>
        </row>
        <row r="140">
          <cell r="O140">
            <v>1.1114016689784201</v>
          </cell>
          <cell r="P140">
            <v>1.1139741000688299</v>
          </cell>
          <cell r="Q140">
            <v>1.11207236788276</v>
          </cell>
          <cell r="U140">
            <v>-7.8591911438793804E-3</v>
          </cell>
          <cell r="V140">
            <v>-6.5133997216558501E-3</v>
          </cell>
          <cell r="W140">
            <v>-8.2693524467780995E-3</v>
          </cell>
          <cell r="Y140">
            <v>1.1114016689784201</v>
          </cell>
          <cell r="Z140">
            <v>1.1139741000688299</v>
          </cell>
          <cell r="AA140">
            <v>1.11207236788276</v>
          </cell>
          <cell r="AE140">
            <v>-7.8591911438793804E-3</v>
          </cell>
          <cell r="AF140">
            <v>-6.5133997216558501E-3</v>
          </cell>
          <cell r="AG140">
            <v>-8.2693524467780995E-3</v>
          </cell>
          <cell r="AR140">
            <v>2.4495082736010632E-2</v>
          </cell>
          <cell r="BC140">
            <v>2.9558763683665227E-2</v>
          </cell>
          <cell r="BF140">
            <v>5.4053846419675852E-2</v>
          </cell>
        </row>
        <row r="141">
          <cell r="O141">
            <v>1.1114016689784201</v>
          </cell>
          <cell r="P141">
            <v>1.1148996181047299</v>
          </cell>
          <cell r="Q141">
            <v>1.1130079014341301</v>
          </cell>
          <cell r="U141">
            <v>-7.1789075962288597E-3</v>
          </cell>
          <cell r="V141">
            <v>-4.8669994034888902E-3</v>
          </cell>
          <cell r="W141">
            <v>-6.5756184068207603E-3</v>
          </cell>
          <cell r="Y141">
            <v>1.1114016689784201</v>
          </cell>
          <cell r="Z141">
            <v>1.1148996181047299</v>
          </cell>
          <cell r="AA141">
            <v>1.1130079014341301</v>
          </cell>
          <cell r="AE141">
            <v>-7.1789075962288597E-3</v>
          </cell>
          <cell r="AF141">
            <v>-4.8669994034888902E-3</v>
          </cell>
          <cell r="AG141">
            <v>-6.5756184068207603E-3</v>
          </cell>
          <cell r="AR141">
            <v>2.4495082736010632E-2</v>
          </cell>
          <cell r="BC141">
            <v>2.9558763683665227E-2</v>
          </cell>
          <cell r="BF141">
            <v>5.4053846419675852E-2</v>
          </cell>
        </row>
        <row r="142">
          <cell r="O142">
            <v>1.1114016689784201</v>
          </cell>
          <cell r="P142">
            <v>1.1150635024064399</v>
          </cell>
          <cell r="Q142">
            <v>1.1141816850933299</v>
          </cell>
          <cell r="U142">
            <v>-3.0002802271244002E-3</v>
          </cell>
          <cell r="V142">
            <v>1.4210847381838199E-4</v>
          </cell>
          <cell r="W142">
            <v>-1.5560922895706999E-3</v>
          </cell>
          <cell r="Y142">
            <v>1.1114016689784201</v>
          </cell>
          <cell r="Z142">
            <v>1.1150635024064399</v>
          </cell>
          <cell r="AA142">
            <v>1.1141816850933299</v>
          </cell>
          <cell r="AE142">
            <v>-3.0002802271244002E-3</v>
          </cell>
          <cell r="AF142">
            <v>1.4210847381838199E-4</v>
          </cell>
          <cell r="AG142">
            <v>-1.5560922895706999E-3</v>
          </cell>
          <cell r="AR142">
            <v>2.4495082736010632E-2</v>
          </cell>
          <cell r="BC142">
            <v>2.9558763683665227E-2</v>
          </cell>
          <cell r="BF142">
            <v>5.4053846419675852E-2</v>
          </cell>
        </row>
        <row r="143">
          <cell r="O143">
            <v>1.1114016689784201</v>
          </cell>
          <cell r="P143">
            <v>1.1160104853092601</v>
          </cell>
          <cell r="Q143">
            <v>1.11496018904118</v>
          </cell>
          <cell r="U143">
            <v>-5.87885146141296E-3</v>
          </cell>
          <cell r="V143">
            <v>-2.5894788928898802E-3</v>
          </cell>
          <cell r="W143">
            <v>-3.3806142637761299E-3</v>
          </cell>
          <cell r="Y143">
            <v>1.1114016689784201</v>
          </cell>
          <cell r="Z143">
            <v>1.1160104853092601</v>
          </cell>
          <cell r="AA143">
            <v>1.11496018904118</v>
          </cell>
          <cell r="AE143">
            <v>-5.87885146141296E-3</v>
          </cell>
          <cell r="AF143">
            <v>-2.5894788928898802E-3</v>
          </cell>
          <cell r="AG143">
            <v>-3.3806142637761299E-3</v>
          </cell>
          <cell r="AR143">
            <v>2.4495082736010632E-2</v>
          </cell>
          <cell r="BC143">
            <v>2.9558763683665227E-2</v>
          </cell>
          <cell r="BF143">
            <v>5.4053846419675852E-2</v>
          </cell>
        </row>
        <row r="144">
          <cell r="O144">
            <v>1.1114016689784201</v>
          </cell>
          <cell r="P144">
            <v>1.1166931107643401</v>
          </cell>
          <cell r="Q144">
            <v>1.11517925291863</v>
          </cell>
          <cell r="U144">
            <v>-5.8830898883022297E-3</v>
          </cell>
          <cell r="V144">
            <v>-1.74481408760886E-3</v>
          </cell>
          <cell r="W144">
            <v>-2.6863740621566102E-3</v>
          </cell>
          <cell r="Y144">
            <v>1.1114016689784201</v>
          </cell>
          <cell r="Z144">
            <v>1.1166931107643401</v>
          </cell>
          <cell r="AA144">
            <v>1.11517925291863</v>
          </cell>
          <cell r="AE144">
            <v>-5.8830898883022297E-3</v>
          </cell>
          <cell r="AF144">
            <v>-1.74481408760886E-3</v>
          </cell>
          <cell r="AG144">
            <v>-2.6863740621566102E-3</v>
          </cell>
          <cell r="AR144">
            <v>2.4495082736010632E-2</v>
          </cell>
          <cell r="BC144">
            <v>2.9558763683665227E-2</v>
          </cell>
          <cell r="BF144">
            <v>5.4053846419675852E-2</v>
          </cell>
        </row>
        <row r="145">
          <cell r="O145">
            <v>1.1114016689784201</v>
          </cell>
          <cell r="P145">
            <v>1.11785600149535</v>
          </cell>
          <cell r="Q145">
            <v>1.11547322331553</v>
          </cell>
          <cell r="U145">
            <v>-1.10990524711498E-2</v>
          </cell>
          <cell r="V145">
            <v>-6.3492978538816696E-3</v>
          </cell>
          <cell r="W145">
            <v>-7.7058790836227803E-3</v>
          </cell>
          <cell r="Y145">
            <v>1.1114016689784201</v>
          </cell>
          <cell r="Z145">
            <v>1.11785600149535</v>
          </cell>
          <cell r="AA145">
            <v>1.11547322331553</v>
          </cell>
          <cell r="AE145">
            <v>-1.10990524711498E-2</v>
          </cell>
          <cell r="AF145">
            <v>-6.3492978538816696E-3</v>
          </cell>
          <cell r="AG145">
            <v>-7.7058790836227803E-3</v>
          </cell>
          <cell r="AR145">
            <v>2.4495082736010632E-2</v>
          </cell>
          <cell r="BC145">
            <v>2.9558763683665227E-2</v>
          </cell>
          <cell r="BF145">
            <v>5.4053846419675852E-2</v>
          </cell>
        </row>
        <row r="146">
          <cell r="O146">
            <v>1.1114016689784201</v>
          </cell>
          <cell r="P146">
            <v>1.1183643466553099</v>
          </cell>
          <cell r="Q146">
            <v>1.1156738564706301</v>
          </cell>
          <cell r="U146">
            <v>-8.6894960617268507E-3</v>
          </cell>
          <cell r="V146">
            <v>-2.89891327056158E-3</v>
          </cell>
          <cell r="W146">
            <v>-5.0327492115098899E-3</v>
          </cell>
          <cell r="Y146">
            <v>1.1114016689784201</v>
          </cell>
          <cell r="Z146">
            <v>1.1183643466553099</v>
          </cell>
          <cell r="AA146">
            <v>1.1156738564706301</v>
          </cell>
          <cell r="AE146">
            <v>-8.6894960617268507E-3</v>
          </cell>
          <cell r="AF146">
            <v>-2.89891327056158E-3</v>
          </cell>
          <cell r="AG146">
            <v>-5.0327492115098899E-3</v>
          </cell>
          <cell r="AR146">
            <v>2.4495082736010632E-2</v>
          </cell>
          <cell r="BC146">
            <v>2.9558763683665227E-2</v>
          </cell>
          <cell r="BF146">
            <v>5.4053846419675852E-2</v>
          </cell>
        </row>
        <row r="147">
          <cell r="O147">
            <v>1.1114016689784201</v>
          </cell>
          <cell r="P147">
            <v>1.11841549389218</v>
          </cell>
          <cell r="Q147">
            <v>1.1154691635424001</v>
          </cell>
          <cell r="U147">
            <v>-3.72146766920483E-3</v>
          </cell>
          <cell r="V147">
            <v>2.52376188262525E-3</v>
          </cell>
          <cell r="W147">
            <v>1.15126719939273E-4</v>
          </cell>
          <cell r="Y147">
            <v>1.1114016689784201</v>
          </cell>
          <cell r="Z147">
            <v>1.11841549389218</v>
          </cell>
          <cell r="AA147">
            <v>1.1154691635424001</v>
          </cell>
          <cell r="AE147">
            <v>-3.72146766920483E-3</v>
          </cell>
          <cell r="AF147">
            <v>2.52376188262525E-3</v>
          </cell>
          <cell r="AG147">
            <v>1.15126719939273E-4</v>
          </cell>
          <cell r="AR147">
            <v>2.4495082736010632E-2</v>
          </cell>
          <cell r="BC147">
            <v>2.9558763683665227E-2</v>
          </cell>
          <cell r="BF147">
            <v>5.4053846419675852E-2</v>
          </cell>
        </row>
        <row r="148">
          <cell r="O148">
            <v>1.1114016689784201</v>
          </cell>
          <cell r="P148">
            <v>1.11841550124878</v>
          </cell>
          <cell r="Q148">
            <v>1.11558194109956</v>
          </cell>
          <cell r="U148">
            <v>-6.3805672414935901E-3</v>
          </cell>
          <cell r="V148">
            <v>-8.9604769547638806E-5</v>
          </cell>
          <cell r="W148">
            <v>-2.7274599053747099E-3</v>
          </cell>
          <cell r="Y148">
            <v>1.1114016689784201</v>
          </cell>
          <cell r="Z148">
            <v>1.11841550124878</v>
          </cell>
          <cell r="AA148">
            <v>1.11558194109956</v>
          </cell>
          <cell r="AE148">
            <v>-6.3805672414935901E-3</v>
          </cell>
          <cell r="AF148">
            <v>-8.9604769547638806E-5</v>
          </cell>
          <cell r="AG148">
            <v>-2.7274599053747099E-3</v>
          </cell>
          <cell r="AR148">
            <v>2.4495082736010632E-2</v>
          </cell>
          <cell r="BC148">
            <v>2.9558763683665227E-2</v>
          </cell>
          <cell r="BF148">
            <v>5.4053846419675852E-2</v>
          </cell>
        </row>
        <row r="149">
          <cell r="O149">
            <v>1.1114016689784201</v>
          </cell>
          <cell r="P149">
            <v>1.11933413338048</v>
          </cell>
          <cell r="Q149">
            <v>1.1161162620517</v>
          </cell>
          <cell r="U149">
            <v>-1.13944748334885E-2</v>
          </cell>
          <cell r="V149">
            <v>-5.1035057838397903E-3</v>
          </cell>
          <cell r="W149">
            <v>-7.6402693584526104E-3</v>
          </cell>
          <cell r="Y149">
            <v>1.1114016689784201</v>
          </cell>
          <cell r="Z149">
            <v>1.11933413338048</v>
          </cell>
          <cell r="AA149">
            <v>1.1161162620517</v>
          </cell>
          <cell r="AE149">
            <v>-1.13944748334885E-2</v>
          </cell>
          <cell r="AF149">
            <v>-5.1035057838397903E-3</v>
          </cell>
          <cell r="AG149">
            <v>-7.6402693584526104E-3</v>
          </cell>
          <cell r="AR149">
            <v>2.4495082736010632E-2</v>
          </cell>
          <cell r="BC149">
            <v>2.9558763683665227E-2</v>
          </cell>
          <cell r="BF149">
            <v>5.4053846419675852E-2</v>
          </cell>
        </row>
        <row r="150">
          <cell r="O150">
            <v>1.1114016689784201</v>
          </cell>
          <cell r="P150">
            <v>1.1189117796527399</v>
          </cell>
          <cell r="Q150">
            <v>1.11644293986078</v>
          </cell>
          <cell r="U150">
            <v>-4.0816246853130596E-3</v>
          </cell>
          <cell r="V150">
            <v>3.03037650223007E-3</v>
          </cell>
          <cell r="W150">
            <v>1.51427760694903E-4</v>
          </cell>
          <cell r="Y150">
            <v>1.1114016689784201</v>
          </cell>
          <cell r="Z150">
            <v>1.1189117796527399</v>
          </cell>
          <cell r="AA150">
            <v>1.11644293986078</v>
          </cell>
          <cell r="AE150">
            <v>-4.0816246853130596E-3</v>
          </cell>
          <cell r="AF150">
            <v>3.03037650223007E-3</v>
          </cell>
          <cell r="AG150">
            <v>1.51427760694903E-4</v>
          </cell>
          <cell r="AR150">
            <v>2.4495082736010632E-2</v>
          </cell>
          <cell r="BC150">
            <v>2.9558763683665227E-2</v>
          </cell>
          <cell r="BF150">
            <v>5.4053846419675852E-2</v>
          </cell>
        </row>
        <row r="151">
          <cell r="O151">
            <v>1.1114016689784201</v>
          </cell>
          <cell r="P151">
            <v>1.11924511862867</v>
          </cell>
          <cell r="Q151">
            <v>1.1170723683667001</v>
          </cell>
          <cell r="U151">
            <v>-1.0152294809563899E-2</v>
          </cell>
          <cell r="V151">
            <v>-3.4176906991614802E-3</v>
          </cell>
          <cell r="W151">
            <v>-5.6265936300880798E-3</v>
          </cell>
          <cell r="Y151">
            <v>1.1114016689784201</v>
          </cell>
          <cell r="Z151">
            <v>1.11924511862867</v>
          </cell>
          <cell r="AA151">
            <v>1.1170723683667001</v>
          </cell>
          <cell r="AE151">
            <v>-1.0152294809563899E-2</v>
          </cell>
          <cell r="AF151">
            <v>-3.4176906991614802E-3</v>
          </cell>
          <cell r="AG151">
            <v>-5.6265936300880798E-3</v>
          </cell>
          <cell r="AR151">
            <v>2.4495082736010632E-2</v>
          </cell>
          <cell r="BC151">
            <v>2.9558763683665227E-2</v>
          </cell>
          <cell r="BF151">
            <v>5.4053846419675852E-2</v>
          </cell>
        </row>
        <row r="152">
          <cell r="O152">
            <v>1.1114016689784201</v>
          </cell>
          <cell r="P152">
            <v>1.1203575429432699</v>
          </cell>
          <cell r="Q152">
            <v>1.11771052267485</v>
          </cell>
          <cell r="U152">
            <v>-1.29300326508794E-2</v>
          </cell>
          <cell r="V152">
            <v>-5.8975593619138298E-3</v>
          </cell>
          <cell r="W152">
            <v>-7.8407100623550802E-3</v>
          </cell>
          <cell r="Y152">
            <v>1.1114016689784201</v>
          </cell>
          <cell r="Z152">
            <v>1.1203575429432699</v>
          </cell>
          <cell r="AA152">
            <v>1.11771052267485</v>
          </cell>
          <cell r="AE152">
            <v>-1.29300326508794E-2</v>
          </cell>
          <cell r="AF152">
            <v>-5.8975593619138298E-3</v>
          </cell>
          <cell r="AG152">
            <v>-7.8407100623550802E-3</v>
          </cell>
          <cell r="AR152">
            <v>2.4495082736010632E-2</v>
          </cell>
          <cell r="BC152">
            <v>2.9558763683665227E-2</v>
          </cell>
          <cell r="BF152">
            <v>5.4053846419675852E-2</v>
          </cell>
        </row>
        <row r="153">
          <cell r="O153">
            <v>1.1114016689784201</v>
          </cell>
          <cell r="P153">
            <v>1.12084975137555</v>
          </cell>
          <cell r="Q153">
            <v>1.1184301183424099</v>
          </cell>
          <cell r="U153">
            <v>-1.0271946053422E-2</v>
          </cell>
          <cell r="V153">
            <v>-2.2460604729176302E-3</v>
          </cell>
          <cell r="W153">
            <v>-4.61151266209083E-3</v>
          </cell>
          <cell r="Y153">
            <v>1.1114016689784201</v>
          </cell>
          <cell r="Z153">
            <v>1.12084975137555</v>
          </cell>
          <cell r="AA153">
            <v>1.1184301183424099</v>
          </cell>
          <cell r="AE153">
            <v>-1.0271946053422E-2</v>
          </cell>
          <cell r="AF153">
            <v>-2.2460604729176302E-3</v>
          </cell>
          <cell r="AG153">
            <v>-4.61151266209083E-3</v>
          </cell>
          <cell r="AR153">
            <v>2.4495082736010632E-2</v>
          </cell>
          <cell r="BC153">
            <v>2.9558763683665227E-2</v>
          </cell>
          <cell r="BF153">
            <v>5.4053846419675852E-2</v>
          </cell>
        </row>
        <row r="154">
          <cell r="O154">
            <v>1.1114016689784201</v>
          </cell>
          <cell r="P154">
            <v>1.1217034435186799</v>
          </cell>
          <cell r="Q154">
            <v>1.1191982771415101</v>
          </cell>
          <cell r="U154">
            <v>-1.34902459549609E-2</v>
          </cell>
          <cell r="V154">
            <v>-5.0251252876832497E-3</v>
          </cell>
          <cell r="W154">
            <v>-7.1862075244883798E-3</v>
          </cell>
          <cell r="Y154">
            <v>1.1114016689784201</v>
          </cell>
          <cell r="Z154">
            <v>1.1217034435186799</v>
          </cell>
          <cell r="AA154">
            <v>1.1191982771415101</v>
          </cell>
          <cell r="AE154">
            <v>-1.34902459549609E-2</v>
          </cell>
          <cell r="AF154">
            <v>-5.0251252876832497E-3</v>
          </cell>
          <cell r="AG154">
            <v>-7.1862075244883798E-3</v>
          </cell>
          <cell r="AR154">
            <v>2.4495082736010632E-2</v>
          </cell>
          <cell r="BC154">
            <v>2.9558763683665227E-2</v>
          </cell>
          <cell r="BF154">
            <v>5.4053846419675852E-2</v>
          </cell>
        </row>
        <row r="155">
          <cell r="O155">
            <v>1.1114016689784201</v>
          </cell>
          <cell r="P155">
            <v>1.1219734574682501</v>
          </cell>
          <cell r="Q155">
            <v>1.1199147294817999</v>
          </cell>
          <cell r="U155">
            <v>-1.3498844945344E-2</v>
          </cell>
          <cell r="V155">
            <v>-4.2723669231462197E-3</v>
          </cell>
          <cell r="W155">
            <v>-6.5082234961475003E-3</v>
          </cell>
          <cell r="Y155">
            <v>1.1114016689784201</v>
          </cell>
          <cell r="Z155">
            <v>1.1219734574682501</v>
          </cell>
          <cell r="AA155">
            <v>1.1199147294817999</v>
          </cell>
          <cell r="AE155">
            <v>-1.3498844945344E-2</v>
          </cell>
          <cell r="AF155">
            <v>-4.2723669231462197E-3</v>
          </cell>
          <cell r="AG155">
            <v>-6.5082234961475003E-3</v>
          </cell>
          <cell r="AR155">
            <v>2.4495082736010632E-2</v>
          </cell>
          <cell r="BC155">
            <v>2.9558763683665227E-2</v>
          </cell>
          <cell r="BF155">
            <v>5.4053846419675852E-2</v>
          </cell>
        </row>
        <row r="156">
          <cell r="O156">
            <v>1.1114016689784201</v>
          </cell>
          <cell r="P156">
            <v>1.12228801693169</v>
          </cell>
          <cell r="Q156">
            <v>1.1203261817935</v>
          </cell>
          <cell r="U156">
            <v>-1.14913748811655E-2</v>
          </cell>
          <cell r="V156">
            <v>-2.02420805858403E-3</v>
          </cell>
          <cell r="W156">
            <v>-3.8608104164764298E-3</v>
          </cell>
          <cell r="Y156">
            <v>1.1114016689784201</v>
          </cell>
          <cell r="Z156">
            <v>1.12228801693169</v>
          </cell>
          <cell r="AA156">
            <v>1.1203261817935</v>
          </cell>
          <cell r="AE156">
            <v>-1.14913748811655E-2</v>
          </cell>
          <cell r="AF156">
            <v>-2.02420805858403E-3</v>
          </cell>
          <cell r="AG156">
            <v>-3.8608104164764298E-3</v>
          </cell>
          <cell r="AR156">
            <v>2.4495082736010632E-2</v>
          </cell>
          <cell r="BC156">
            <v>2.9558763683665227E-2</v>
          </cell>
          <cell r="BF156">
            <v>5.4053846419675852E-2</v>
          </cell>
        </row>
        <row r="157">
          <cell r="O157">
            <v>1.1114016689784201</v>
          </cell>
          <cell r="P157">
            <v>1.12325583629202</v>
          </cell>
          <cell r="Q157">
            <v>1.1208356650921001</v>
          </cell>
          <cell r="U157">
            <v>-1.23597999926421E-2</v>
          </cell>
          <cell r="V157">
            <v>-2.6123098039196801E-3</v>
          </cell>
          <cell r="W157">
            <v>-4.3619068944534302E-3</v>
          </cell>
          <cell r="Y157">
            <v>1.1114016689784201</v>
          </cell>
          <cell r="Z157">
            <v>1.12325583629202</v>
          </cell>
          <cell r="AA157">
            <v>1.1208356650921001</v>
          </cell>
          <cell r="AE157">
            <v>-1.23597999926421E-2</v>
          </cell>
          <cell r="AF157">
            <v>-2.6123098039196801E-3</v>
          </cell>
          <cell r="AG157">
            <v>-4.3619068944534302E-3</v>
          </cell>
          <cell r="AR157">
            <v>2.4495082736010632E-2</v>
          </cell>
          <cell r="BC157">
            <v>2.9558763683665227E-2</v>
          </cell>
          <cell r="BF157">
            <v>5.4053846419675852E-2</v>
          </cell>
        </row>
        <row r="158">
          <cell r="O158">
            <v>1.1114016689784201</v>
          </cell>
          <cell r="P158">
            <v>1.12414311842073</v>
          </cell>
          <cell r="Q158">
            <v>1.12127930983476</v>
          </cell>
          <cell r="U158">
            <v>-1.4281943672821901E-2</v>
          </cell>
          <cell r="V158">
            <v>-3.6724623732444501E-3</v>
          </cell>
          <cell r="W158">
            <v>-5.8293905882634903E-3</v>
          </cell>
          <cell r="Y158">
            <v>1.1114016689784201</v>
          </cell>
          <cell r="Z158">
            <v>1.12414311842073</v>
          </cell>
          <cell r="AA158">
            <v>1.12127930983476</v>
          </cell>
          <cell r="AE158">
            <v>-1.4281943672821901E-2</v>
          </cell>
          <cell r="AF158">
            <v>-3.6724623732444501E-3</v>
          </cell>
          <cell r="AG158">
            <v>-5.8293905882634903E-3</v>
          </cell>
          <cell r="AR158">
            <v>2.4495082736010632E-2</v>
          </cell>
          <cell r="BC158">
            <v>2.9558763683665227E-2</v>
          </cell>
          <cell r="BF158">
            <v>5.4053846419675852E-2</v>
          </cell>
        </row>
        <row r="159">
          <cell r="O159">
            <v>1.1114016689784201</v>
          </cell>
          <cell r="P159">
            <v>1.1242645132622999</v>
          </cell>
          <cell r="Q159">
            <v>1.1217993233213901</v>
          </cell>
          <cell r="U159">
            <v>-1.24737849312219E-2</v>
          </cell>
          <cell r="V159">
            <v>-1.0746955623293899E-3</v>
          </cell>
          <cell r="W159">
            <v>-3.6254941138479302E-3</v>
          </cell>
          <cell r="Y159">
            <v>1.1114016689784201</v>
          </cell>
          <cell r="Z159">
            <v>1.1242645132622999</v>
          </cell>
          <cell r="AA159">
            <v>1.1217993233213901</v>
          </cell>
          <cell r="AE159">
            <v>-1.24737849312219E-2</v>
          </cell>
          <cell r="AF159">
            <v>-1.0746955623293899E-3</v>
          </cell>
          <cell r="AG159">
            <v>-3.6254941138479302E-3</v>
          </cell>
          <cell r="AR159">
            <v>2.4495082736010632E-2</v>
          </cell>
          <cell r="BC159">
            <v>2.9558763683665227E-2</v>
          </cell>
          <cell r="BF159">
            <v>5.4053846419675852E-2</v>
          </cell>
        </row>
        <row r="160">
          <cell r="O160">
            <v>1.1114016689784201</v>
          </cell>
          <cell r="P160">
            <v>1.12509327736418</v>
          </cell>
          <cell r="Q160">
            <v>1.1220025285084601</v>
          </cell>
          <cell r="U160">
            <v>-1.1480736190230101E-2</v>
          </cell>
          <cell r="V160">
            <v>2.6336126223153901E-5</v>
          </cell>
          <cell r="W160">
            <v>-2.1687848588967601E-3</v>
          </cell>
          <cell r="Y160">
            <v>1.1114016689784201</v>
          </cell>
          <cell r="Z160">
            <v>1.12509327736418</v>
          </cell>
          <cell r="AA160">
            <v>1.1220025285084601</v>
          </cell>
          <cell r="AE160">
            <v>-1.1480736190230101E-2</v>
          </cell>
          <cell r="AF160">
            <v>2.6336126223153901E-5</v>
          </cell>
          <cell r="AG160">
            <v>-2.1687848588967601E-3</v>
          </cell>
          <cell r="AR160">
            <v>2.4495082736010632E-2</v>
          </cell>
          <cell r="BC160">
            <v>2.9558763683665227E-2</v>
          </cell>
          <cell r="BF160">
            <v>5.4053846419675852E-2</v>
          </cell>
        </row>
        <row r="161">
          <cell r="O161">
            <v>1.1114016689784201</v>
          </cell>
          <cell r="P161">
            <v>1.1250876680055999</v>
          </cell>
          <cell r="Q161">
            <v>1.12216639331713</v>
          </cell>
          <cell r="U161">
            <v>-1.01023323370498E-2</v>
          </cell>
          <cell r="V161">
            <v>2.1416295421333299E-3</v>
          </cell>
          <cell r="W161">
            <v>-6.0925521917770198E-4</v>
          </cell>
          <cell r="Y161">
            <v>1.1114016689784201</v>
          </cell>
          <cell r="Z161">
            <v>1.1250876680055999</v>
          </cell>
          <cell r="AA161">
            <v>1.12216639331713</v>
          </cell>
          <cell r="AE161">
            <v>-1.01023323370498E-2</v>
          </cell>
          <cell r="AF161">
            <v>2.1416295421333299E-3</v>
          </cell>
          <cell r="AG161">
            <v>-6.0925521917770198E-4</v>
          </cell>
          <cell r="AR161">
            <v>2.4495082736010632E-2</v>
          </cell>
          <cell r="BC161">
            <v>2.9558763683665227E-2</v>
          </cell>
          <cell r="BF161">
            <v>5.4053846419675852E-2</v>
          </cell>
        </row>
        <row r="162">
          <cell r="O162">
            <v>1.1114016689784201</v>
          </cell>
          <cell r="P162">
            <v>1.1248732627572799</v>
          </cell>
          <cell r="Q162">
            <v>1.1226154028502799</v>
          </cell>
          <cell r="U162">
            <v>-1.10238576021206E-2</v>
          </cell>
          <cell r="V162">
            <v>1.21511858149612E-3</v>
          </cell>
          <cell r="W162">
            <v>-1.3847444106076601E-3</v>
          </cell>
          <cell r="Y162">
            <v>1.1114016689784201</v>
          </cell>
          <cell r="Z162">
            <v>1.1248732627572799</v>
          </cell>
          <cell r="AA162">
            <v>1.1226154028502799</v>
          </cell>
          <cell r="AE162">
            <v>-1.10238576021206E-2</v>
          </cell>
          <cell r="AF162">
            <v>1.21511858149612E-3</v>
          </cell>
          <cell r="AG162">
            <v>-1.3847444106076601E-3</v>
          </cell>
          <cell r="AR162">
            <v>2.4495082736010632E-2</v>
          </cell>
          <cell r="BC162">
            <v>2.9558763683665227E-2</v>
          </cell>
          <cell r="BF162">
            <v>5.4053846419675852E-2</v>
          </cell>
        </row>
        <row r="163">
          <cell r="O163">
            <v>1.1114016689784201</v>
          </cell>
          <cell r="P163">
            <v>1.12477253824062</v>
          </cell>
          <cell r="Q163">
            <v>1.12281114480809</v>
          </cell>
          <cell r="U163">
            <v>-9.3745214813504597E-3</v>
          </cell>
          <cell r="V163">
            <v>2.6738689493914099E-3</v>
          </cell>
          <cell r="W163">
            <v>6.6463909106793495E-4</v>
          </cell>
          <cell r="Y163">
            <v>1.1114016689784201</v>
          </cell>
          <cell r="Z163">
            <v>1.12477253824062</v>
          </cell>
          <cell r="AA163">
            <v>1.12281114480809</v>
          </cell>
          <cell r="AE163">
            <v>-9.3745214813504597E-3</v>
          </cell>
          <cell r="AF163">
            <v>2.6738689493914099E-3</v>
          </cell>
          <cell r="AG163">
            <v>6.6463909106793495E-4</v>
          </cell>
          <cell r="AR163">
            <v>2.4495082736010632E-2</v>
          </cell>
          <cell r="BC163">
            <v>2.9558763683665227E-2</v>
          </cell>
          <cell r="BF163">
            <v>5.4053846419675852E-2</v>
          </cell>
        </row>
        <row r="164">
          <cell r="O164">
            <v>1.1114016689784201</v>
          </cell>
          <cell r="P164">
            <v>1.1239660669700999</v>
          </cell>
          <cell r="Q164">
            <v>1.12283475524439</v>
          </cell>
          <cell r="U164">
            <v>-6.3053852065481503E-3</v>
          </cell>
          <cell r="V164">
            <v>5.6534582237880498E-3</v>
          </cell>
          <cell r="W164">
            <v>3.9081226038258704E-3</v>
          </cell>
          <cell r="Y164">
            <v>1.1114016689784201</v>
          </cell>
          <cell r="Z164">
            <v>1.1239660669700999</v>
          </cell>
          <cell r="AA164">
            <v>1.12283475524439</v>
          </cell>
          <cell r="AE164">
            <v>-6.3053852065481503E-3</v>
          </cell>
          <cell r="AF164">
            <v>5.6534582237880498E-3</v>
          </cell>
          <cell r="AG164">
            <v>3.9081226038258704E-3</v>
          </cell>
          <cell r="AR164">
            <v>2.4495082736010632E-2</v>
          </cell>
          <cell r="BC164">
            <v>2.9558763683665227E-2</v>
          </cell>
          <cell r="BF164">
            <v>5.4053846419675852E-2</v>
          </cell>
        </row>
        <row r="165">
          <cell r="O165">
            <v>1.1114016689784201</v>
          </cell>
          <cell r="P165">
            <v>1.1226068552889401</v>
          </cell>
          <cell r="Q165">
            <v>1.1222901563786001</v>
          </cell>
          <cell r="U165">
            <v>-1.3597338034910299E-3</v>
          </cell>
          <cell r="V165">
            <v>9.8818441312218102E-3</v>
          </cell>
          <cell r="W165">
            <v>8.8748017533355796E-3</v>
          </cell>
          <cell r="Y165">
            <v>1.1114016689784201</v>
          </cell>
          <cell r="Z165">
            <v>1.1226068552889401</v>
          </cell>
          <cell r="AA165">
            <v>1.1222901563786001</v>
          </cell>
          <cell r="AE165">
            <v>-1.3597338034910299E-3</v>
          </cell>
          <cell r="AF165">
            <v>9.8818441312218102E-3</v>
          </cell>
          <cell r="AG165">
            <v>8.8748017533355796E-3</v>
          </cell>
          <cell r="AR165">
            <v>2.4495082736010632E-2</v>
          </cell>
          <cell r="BC165">
            <v>2.9558763683665227E-2</v>
          </cell>
          <cell r="BF165">
            <v>5.4053846419675852E-2</v>
          </cell>
        </row>
        <row r="166">
          <cell r="O166">
            <v>1.1114016689784201</v>
          </cell>
          <cell r="P166">
            <v>1.12176077280016</v>
          </cell>
          <cell r="Q166">
            <v>1.1220243948659301</v>
          </cell>
          <cell r="U166">
            <v>-3.9371419931459803E-3</v>
          </cell>
          <cell r="V166">
            <v>6.0944045790963103E-3</v>
          </cell>
          <cell r="W166">
            <v>5.8122545198280601E-3</v>
          </cell>
          <cell r="Y166">
            <v>1.1114016689784201</v>
          </cell>
          <cell r="Z166">
            <v>1.12176077280016</v>
          </cell>
          <cell r="AA166">
            <v>1.1220243948659301</v>
          </cell>
          <cell r="AE166">
            <v>-3.9371419931459803E-3</v>
          </cell>
          <cell r="AF166">
            <v>6.0944045790963103E-3</v>
          </cell>
          <cell r="AG166">
            <v>5.8122545198280601E-3</v>
          </cell>
          <cell r="AR166">
            <v>2.4495082736010632E-2</v>
          </cell>
          <cell r="BC166">
            <v>2.9558763683665227E-2</v>
          </cell>
          <cell r="BF166">
            <v>5.4053846419675852E-2</v>
          </cell>
        </row>
        <row r="167">
          <cell r="O167">
            <v>1.1114016689784201</v>
          </cell>
          <cell r="P167">
            <v>1.1210783317328501</v>
          </cell>
          <cell r="Q167">
            <v>1.12216708401244</v>
          </cell>
          <cell r="U167">
            <v>-6.2763962500858696E-3</v>
          </cell>
          <cell r="V167">
            <v>3.0011895910609602E-3</v>
          </cell>
          <cell r="W167">
            <v>3.2361693661104802E-3</v>
          </cell>
          <cell r="Y167">
            <v>1.1114016689784201</v>
          </cell>
          <cell r="Z167">
            <v>1.1210783317328501</v>
          </cell>
          <cell r="AA167">
            <v>1.12216708401244</v>
          </cell>
          <cell r="AE167">
            <v>-6.2763962500858696E-3</v>
          </cell>
          <cell r="AF167">
            <v>3.0011895910609602E-3</v>
          </cell>
          <cell r="AG167">
            <v>3.2361693661104802E-3</v>
          </cell>
          <cell r="AR167">
            <v>2.4495082736010632E-2</v>
          </cell>
          <cell r="BC167">
            <v>2.9558763683665227E-2</v>
          </cell>
          <cell r="BF167">
            <v>5.4053846419675852E-2</v>
          </cell>
        </row>
        <row r="168">
          <cell r="O168">
            <v>1.1114016689784201</v>
          </cell>
          <cell r="P168">
            <v>1.1200284499389701</v>
          </cell>
          <cell r="Q168">
            <v>1.1220857841798499</v>
          </cell>
          <cell r="U168">
            <v>-4.92580031991109E-3</v>
          </cell>
          <cell r="V168">
            <v>3.7432344334732501E-3</v>
          </cell>
          <cell r="W168">
            <v>4.71392837309561E-3</v>
          </cell>
          <cell r="Y168">
            <v>1.1114016689784201</v>
          </cell>
          <cell r="Z168">
            <v>1.1200284499389701</v>
          </cell>
          <cell r="AA168">
            <v>1.1220857841798499</v>
          </cell>
          <cell r="AE168">
            <v>-4.92580031991109E-3</v>
          </cell>
          <cell r="AF168">
            <v>3.7432344334732501E-3</v>
          </cell>
          <cell r="AG168">
            <v>4.71392837309561E-3</v>
          </cell>
          <cell r="AR168">
            <v>2.4495082736010632E-2</v>
          </cell>
          <cell r="BC168">
            <v>2.9558763683665227E-2</v>
          </cell>
          <cell r="BF168">
            <v>5.4053846419675852E-2</v>
          </cell>
        </row>
        <row r="169">
          <cell r="O169">
            <v>1.1114016689784201</v>
          </cell>
          <cell r="P169">
            <v>1.1195224639186201</v>
          </cell>
          <cell r="Q169">
            <v>1.1218934885904599</v>
          </cell>
          <cell r="U169">
            <v>-7.9673992400495306E-3</v>
          </cell>
          <cell r="V169">
            <v>-2.3529607713915801E-4</v>
          </cell>
          <cell r="W169">
            <v>1.59987787338925E-3</v>
          </cell>
          <cell r="Y169">
            <v>1.1114016689784201</v>
          </cell>
          <cell r="Z169">
            <v>1.1195224639186201</v>
          </cell>
          <cell r="AA169">
            <v>1.1218934885904599</v>
          </cell>
          <cell r="AE169">
            <v>-7.9673992400495306E-3</v>
          </cell>
          <cell r="AF169">
            <v>-2.3529607713915801E-4</v>
          </cell>
          <cell r="AG169">
            <v>1.59987787338925E-3</v>
          </cell>
          <cell r="AR169">
            <v>2.4495082736010632E-2</v>
          </cell>
          <cell r="BC169">
            <v>2.9558763683665227E-2</v>
          </cell>
          <cell r="BF169">
            <v>5.4053846419675852E-2</v>
          </cell>
        </row>
        <row r="170">
          <cell r="O170">
            <v>1.1114016689784201</v>
          </cell>
          <cell r="P170">
            <v>1.11907185254422</v>
          </cell>
          <cell r="Q170">
            <v>1.1220825649541999</v>
          </cell>
          <cell r="U170">
            <v>-7.4645216597331804E-3</v>
          </cell>
          <cell r="V170">
            <v>-1.8428232883483799E-4</v>
          </cell>
          <cell r="W170">
            <v>1.9313674269161899E-3</v>
          </cell>
          <cell r="Y170">
            <v>1.1114016689784201</v>
          </cell>
          <cell r="Z170">
            <v>1.11907185254422</v>
          </cell>
          <cell r="AA170">
            <v>1.1220825649541999</v>
          </cell>
          <cell r="AE170">
            <v>-7.4645216597331804E-3</v>
          </cell>
          <cell r="AF170">
            <v>-1.8428232883483799E-4</v>
          </cell>
          <cell r="AG170">
            <v>1.9313674269161899E-3</v>
          </cell>
          <cell r="AR170">
            <v>2.4495082736010632E-2</v>
          </cell>
          <cell r="BC170">
            <v>2.9558763683665227E-2</v>
          </cell>
          <cell r="BF170">
            <v>5.4053846419675852E-2</v>
          </cell>
        </row>
        <row r="171">
          <cell r="O171">
            <v>1.1114016689784201</v>
          </cell>
          <cell r="P171">
            <v>1.1187854181530299</v>
          </cell>
          <cell r="Q171">
            <v>1.12193654307931</v>
          </cell>
          <cell r="U171">
            <v>-7.5477415979435898E-3</v>
          </cell>
          <cell r="V171">
            <v>-6.7008649337752804E-4</v>
          </cell>
          <cell r="W171">
            <v>2.01666654566176E-3</v>
          </cell>
          <cell r="Y171">
            <v>1.1114016689784201</v>
          </cell>
          <cell r="Z171">
            <v>1.1187854181530299</v>
          </cell>
          <cell r="AA171">
            <v>1.12193654307931</v>
          </cell>
          <cell r="AE171">
            <v>-7.5477415979435898E-3</v>
          </cell>
          <cell r="AF171">
            <v>-6.7008649337752804E-4</v>
          </cell>
          <cell r="AG171">
            <v>2.01666654566176E-3</v>
          </cell>
          <cell r="AR171">
            <v>2.4495082736010632E-2</v>
          </cell>
          <cell r="BC171">
            <v>2.9558763683665227E-2</v>
          </cell>
          <cell r="BF171">
            <v>5.4053846419675852E-2</v>
          </cell>
        </row>
        <row r="172">
          <cell r="O172">
            <v>1.1114016689784201</v>
          </cell>
          <cell r="P172">
            <v>1.11841534025844</v>
          </cell>
          <cell r="Q172">
            <v>1.1216443015078601</v>
          </cell>
          <cell r="U172">
            <v>-7.7250983668747698E-3</v>
          </cell>
          <cell r="V172">
            <v>-1.10343312949826E-3</v>
          </cell>
          <cell r="W172">
            <v>1.70916661121947E-3</v>
          </cell>
          <cell r="Y172">
            <v>1.1114016689784201</v>
          </cell>
          <cell r="Z172">
            <v>1.11841534025844</v>
          </cell>
          <cell r="AA172">
            <v>1.1216443015078601</v>
          </cell>
          <cell r="AE172">
            <v>-7.7250983668747698E-3</v>
          </cell>
          <cell r="AF172">
            <v>-1.10343312949826E-3</v>
          </cell>
          <cell r="AG172">
            <v>1.70916661121947E-3</v>
          </cell>
          <cell r="AR172">
            <v>2.4495082736010632E-2</v>
          </cell>
          <cell r="BC172">
            <v>2.9558763683665227E-2</v>
          </cell>
          <cell r="BF172">
            <v>5.4053846419675852E-2</v>
          </cell>
        </row>
        <row r="173">
          <cell r="O173">
            <v>1.1114016689784201</v>
          </cell>
          <cell r="P173">
            <v>1.1180672677508801</v>
          </cell>
          <cell r="Q173">
            <v>1.1214199029957499</v>
          </cell>
          <cell r="U173">
            <v>-6.2670870719720804E-3</v>
          </cell>
          <cell r="V173">
            <v>2.37380326457345E-5</v>
          </cell>
          <cell r="W173">
            <v>2.90666438479496E-3</v>
          </cell>
          <cell r="Y173">
            <v>1.1114016689784201</v>
          </cell>
          <cell r="Z173">
            <v>1.1180672677508801</v>
          </cell>
          <cell r="AA173">
            <v>1.1214199029957499</v>
          </cell>
          <cell r="AE173">
            <v>-6.2670870719720804E-3</v>
          </cell>
          <cell r="AF173">
            <v>2.37380326457345E-5</v>
          </cell>
          <cell r="AG173">
            <v>2.90666438479496E-3</v>
          </cell>
          <cell r="AR173">
            <v>2.4495082736010632E-2</v>
          </cell>
          <cell r="BC173">
            <v>2.9558763683665227E-2</v>
          </cell>
          <cell r="BF173">
            <v>5.4053846419675852E-2</v>
          </cell>
        </row>
        <row r="174">
          <cell r="O174">
            <v>1.1114016689784201</v>
          </cell>
          <cell r="P174">
            <v>1.11848728131385</v>
          </cell>
          <cell r="Q174">
            <v>1.1212266741419701</v>
          </cell>
          <cell r="U174">
            <v>-1.0053731260232301E-2</v>
          </cell>
          <cell r="V174">
            <v>-4.07417395544157E-3</v>
          </cell>
          <cell r="W174">
            <v>-1.0800619165049199E-3</v>
          </cell>
          <cell r="Y174">
            <v>1.1114016689784201</v>
          </cell>
          <cell r="Z174">
            <v>1.11848728131385</v>
          </cell>
          <cell r="AA174">
            <v>1.1212266741419701</v>
          </cell>
          <cell r="AE174">
            <v>-1.0053731260232301E-2</v>
          </cell>
          <cell r="AF174">
            <v>-4.07417395544157E-3</v>
          </cell>
          <cell r="AG174">
            <v>-1.0800619165049199E-3</v>
          </cell>
          <cell r="AR174">
            <v>2.4495082736010632E-2</v>
          </cell>
          <cell r="BC174">
            <v>2.9558763683665227E-2</v>
          </cell>
          <cell r="BF174">
            <v>5.4053846419675852E-2</v>
          </cell>
        </row>
        <row r="175">
          <cell r="O175">
            <v>1.1114016689784201</v>
          </cell>
          <cell r="P175">
            <v>1.12001026184285</v>
          </cell>
          <cell r="Q175">
            <v>1.1213085585658999</v>
          </cell>
          <cell r="U175">
            <v>-1.4951566172808101E-2</v>
          </cell>
          <cell r="V175">
            <v>-8.5964190411741397E-3</v>
          </cell>
          <cell r="W175">
            <v>-6.1502189918551603E-3</v>
          </cell>
          <cell r="Y175">
            <v>1.1114016689784201</v>
          </cell>
          <cell r="Z175">
            <v>1.12001026184285</v>
          </cell>
          <cell r="AA175">
            <v>1.1213085585658999</v>
          </cell>
          <cell r="AE175">
            <v>-1.4951566172808101E-2</v>
          </cell>
          <cell r="AF175">
            <v>-8.5964190411741397E-3</v>
          </cell>
          <cell r="AG175">
            <v>-6.1502189918551603E-3</v>
          </cell>
          <cell r="AR175">
            <v>2.4495082736010632E-2</v>
          </cell>
          <cell r="BC175">
            <v>2.9558763683665227E-2</v>
          </cell>
          <cell r="BF175">
            <v>5.4053846419675852E-2</v>
          </cell>
        </row>
        <row r="176">
          <cell r="O176">
            <v>1.1114016689784201</v>
          </cell>
          <cell r="P176">
            <v>1.1205186712103401</v>
          </cell>
          <cell r="Q176">
            <v>1.1211397220052499</v>
          </cell>
          <cell r="U176">
            <v>-8.4833055823446205E-3</v>
          </cell>
          <cell r="V176">
            <v>-7.6744151032033297E-4</v>
          </cell>
          <cell r="W176">
            <v>3.9107003781930702E-4</v>
          </cell>
          <cell r="Y176">
            <v>1.1114016689784201</v>
          </cell>
          <cell r="Z176">
            <v>1.1205186712103401</v>
          </cell>
          <cell r="AA176">
            <v>1.1211397220052499</v>
          </cell>
          <cell r="AE176">
            <v>-8.4833055823446205E-3</v>
          </cell>
          <cell r="AF176">
            <v>-7.6744151032033297E-4</v>
          </cell>
          <cell r="AG176">
            <v>3.9107003781930702E-4</v>
          </cell>
          <cell r="AR176">
            <v>2.4495082736010632E-2</v>
          </cell>
          <cell r="BC176">
            <v>2.9558763683665227E-2</v>
          </cell>
          <cell r="BF176">
            <v>5.4053846419675852E-2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679B-A8C3-4B73-A0B6-41D58F68BEF3}">
  <dimension ref="A1:DR179"/>
  <sheetViews>
    <sheetView tabSelected="1" topLeftCell="AF1" workbookViewId="0">
      <selection activeCell="BE16" sqref="BE16"/>
    </sheetView>
  </sheetViews>
  <sheetFormatPr defaultRowHeight="15" x14ac:dyDescent="0.25"/>
  <cols>
    <col min="1" max="1" width="9.42578125" bestFit="1" customWidth="1"/>
    <col min="2" max="2" width="11" style="34" bestFit="1" customWidth="1"/>
    <col min="3" max="3" width="14.7109375" style="34" bestFit="1" customWidth="1"/>
    <col min="4" max="5" width="12.28515625" style="16" bestFit="1" customWidth="1"/>
    <col min="6" max="6" width="10.7109375" style="34" bestFit="1" customWidth="1"/>
    <col min="7" max="7" width="19.140625" style="34" bestFit="1" customWidth="1"/>
    <col min="8" max="8" width="10.7109375" style="34" bestFit="1" customWidth="1"/>
    <col min="9" max="9" width="19.140625" style="34" bestFit="1" customWidth="1"/>
    <col min="10" max="11" width="21.85546875" style="34" bestFit="1" customWidth="1"/>
    <col min="12" max="12" width="11" style="34" bestFit="1" customWidth="1"/>
    <col min="13" max="13" width="14.7109375" style="34" bestFit="1" customWidth="1"/>
    <col min="14" max="14" width="13.5703125" style="35" bestFit="1" customWidth="1"/>
    <col min="15" max="15" width="17" style="35" bestFit="1" customWidth="1"/>
    <col min="16" max="17" width="20.42578125" style="35" bestFit="1" customWidth="1"/>
    <col min="18" max="18" width="14.7109375" style="34" bestFit="1" customWidth="1"/>
    <col min="19" max="20" width="15.85546875" style="34" bestFit="1" customWidth="1"/>
    <col min="21" max="21" width="24.85546875" style="16" bestFit="1" customWidth="1"/>
    <col min="22" max="23" width="28.28515625" style="16" bestFit="1" customWidth="1"/>
    <col min="24" max="24" width="15.5703125" style="35" bestFit="1" customWidth="1"/>
    <col min="25" max="25" width="19.140625" style="35" bestFit="1" customWidth="1"/>
    <col min="26" max="27" width="22.5703125" style="35" bestFit="1" customWidth="1"/>
    <col min="28" max="28" width="14.7109375" style="34" bestFit="1" customWidth="1"/>
    <col min="29" max="30" width="16.85546875" style="34" bestFit="1" customWidth="1"/>
    <col min="31" max="31" width="27" style="16" bestFit="1" customWidth="1"/>
    <col min="32" max="33" width="30.42578125" style="16" bestFit="1" customWidth="1"/>
    <col min="34" max="34" width="1.7109375" style="9" customWidth="1"/>
    <col min="35" max="35" width="7.7109375" style="16" bestFit="1" customWidth="1"/>
    <col min="36" max="36" width="6.28515625" style="16" bestFit="1" customWidth="1"/>
    <col min="37" max="38" width="6.85546875" style="16" bestFit="1" customWidth="1"/>
    <col min="39" max="39" width="7.85546875" style="16" bestFit="1" customWidth="1"/>
    <col min="40" max="40" width="8.42578125" style="16" bestFit="1" customWidth="1"/>
    <col min="41" max="42" width="12.28515625" style="16" bestFit="1" customWidth="1"/>
    <col min="43" max="43" width="7.5703125" style="16" bestFit="1" customWidth="1"/>
    <col min="44" max="44" width="8.7109375" style="16" bestFit="1" customWidth="1"/>
    <col min="45" max="45" width="1.7109375" style="9" customWidth="1"/>
    <col min="46" max="46" width="7.7109375" style="16" bestFit="1" customWidth="1"/>
    <col min="47" max="47" width="6.140625" style="16" bestFit="1" customWidth="1"/>
    <col min="48" max="48" width="6.28515625" style="16" bestFit="1" customWidth="1"/>
    <col min="49" max="49" width="6.140625" style="16" bestFit="1" customWidth="1"/>
    <col min="50" max="50" width="7.85546875" style="16" bestFit="1" customWidth="1"/>
    <col min="51" max="51" width="8.42578125" style="16" bestFit="1" customWidth="1"/>
    <col min="52" max="53" width="12.28515625" style="16" bestFit="1" customWidth="1"/>
    <col min="54" max="54" width="7.5703125" style="16" bestFit="1" customWidth="1"/>
    <col min="55" max="55" width="8.7109375" style="16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2" width="7.42578125" bestFit="1" customWidth="1"/>
  </cols>
  <sheetData>
    <row r="1" spans="1:122" s="7" customFormat="1" x14ac:dyDescent="0.25">
      <c r="A1" s="7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1" t="s">
        <v>17</v>
      </c>
      <c r="S1" s="31" t="s">
        <v>18</v>
      </c>
      <c r="T1" s="31" t="s">
        <v>19</v>
      </c>
      <c r="U1" s="32" t="s">
        <v>20</v>
      </c>
      <c r="V1" s="32" t="s">
        <v>21</v>
      </c>
      <c r="W1" s="32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1" t="s">
        <v>27</v>
      </c>
      <c r="AC1" s="31" t="s">
        <v>28</v>
      </c>
      <c r="AD1" s="31" t="s">
        <v>29</v>
      </c>
      <c r="AE1" s="32" t="s">
        <v>30</v>
      </c>
      <c r="AF1" s="32" t="s">
        <v>31</v>
      </c>
      <c r="AG1" s="32" t="s">
        <v>32</v>
      </c>
      <c r="AH1" s="2"/>
      <c r="AI1" s="3">
        <f>AQ16</f>
        <v>2.4408502964148764</v>
      </c>
      <c r="AJ1" s="4">
        <v>0</v>
      </c>
      <c r="AK1" s="4">
        <f>AJ1-$AK12</f>
        <v>-1E-3</v>
      </c>
      <c r="AL1" s="4">
        <f>AK1-$AK12</f>
        <v>-2E-3</v>
      </c>
      <c r="AM1" s="4">
        <f>AL1-$AK12</f>
        <v>-3.0000000000000001E-3</v>
      </c>
      <c r="AN1" s="4">
        <f>AM1-$AK12</f>
        <v>-4.0000000000000001E-3</v>
      </c>
      <c r="AO1" s="4">
        <f>AN1-$AK12</f>
        <v>-5.0000000000000001E-3</v>
      </c>
      <c r="AP1" s="4">
        <f>AO1-$AK12</f>
        <v>-6.0000000000000001E-3</v>
      </c>
      <c r="AQ1" s="4">
        <f>AP1-$AK12</f>
        <v>-7.0000000000000001E-3</v>
      </c>
      <c r="AR1" s="5" t="s">
        <v>33</v>
      </c>
      <c r="AS1" s="2"/>
      <c r="AT1" s="3">
        <f>BB16</f>
        <v>2.0087777234484241</v>
      </c>
      <c r="AU1" s="4">
        <v>0</v>
      </c>
      <c r="AV1" s="6">
        <f>AU1+$AV12</f>
        <v>1E-3</v>
      </c>
      <c r="AW1" s="6">
        <f t="shared" ref="AW1:BB1" si="0">AV1+$AV12</f>
        <v>2E-3</v>
      </c>
      <c r="AX1" s="6">
        <f t="shared" si="0"/>
        <v>3.0000000000000001E-3</v>
      </c>
      <c r="AY1" s="6">
        <f t="shared" si="0"/>
        <v>4.0000000000000001E-3</v>
      </c>
      <c r="AZ1" s="6">
        <f t="shared" si="0"/>
        <v>5.0000000000000001E-3</v>
      </c>
      <c r="BA1" s="6">
        <f t="shared" si="0"/>
        <v>6.0000000000000001E-3</v>
      </c>
      <c r="BB1" s="6">
        <f t="shared" si="0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</row>
    <row r="2" spans="1:122" ht="15.75" thickBot="1" x14ac:dyDescent="0.3">
      <c r="A2" s="1">
        <v>46024</v>
      </c>
      <c r="B2" s="34">
        <v>496.85</v>
      </c>
      <c r="C2" s="34">
        <v>744120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496.85</v>
      </c>
      <c r="M2" s="34">
        <v>744120</v>
      </c>
      <c r="N2" s="35">
        <v>1497.6753547348201</v>
      </c>
      <c r="O2" s="35">
        <v>1499.9485700668399</v>
      </c>
      <c r="X2" s="35">
        <v>1497.6753547348201</v>
      </c>
      <c r="Y2" s="35">
        <v>1499.9485700668399</v>
      </c>
      <c r="AI2" s="4">
        <v>0</v>
      </c>
      <c r="AJ2" s="10">
        <f t="dataTable" ref="AJ2:AQ9" dt2D="1" dtr="1" r1="AI21" r2="AI22"/>
        <v>4.1274653425368939</v>
      </c>
      <c r="AK2" s="10">
        <v>4.9737559930432971</v>
      </c>
      <c r="AL2" s="10">
        <v>4.5345039924909862</v>
      </c>
      <c r="AM2" s="10">
        <v>3.1194801321965073</v>
      </c>
      <c r="AN2" s="10">
        <v>2.6266658482308283</v>
      </c>
      <c r="AO2" s="10">
        <v>2.1574307701552766</v>
      </c>
      <c r="AP2" s="10">
        <v>2.1574307701552766</v>
      </c>
      <c r="AQ2" s="10">
        <v>1.2750711555097243</v>
      </c>
      <c r="AR2"/>
      <c r="AT2" s="4">
        <v>0</v>
      </c>
      <c r="AU2" s="10">
        <f t="dataTable" ref="AU2:BB9" dt2D="1" dtr="1" r1="AT21" r2="AT22"/>
        <v>6.0526340569487305</v>
      </c>
      <c r="AV2" s="11">
        <v>5.390519512622773</v>
      </c>
      <c r="AW2" s="11">
        <v>4.747630828928969</v>
      </c>
      <c r="AX2" s="11">
        <v>2.8875334357263016</v>
      </c>
      <c r="AY2" s="11">
        <v>2.2344942708957181</v>
      </c>
      <c r="AZ2" s="11">
        <v>1.7605528023398269</v>
      </c>
      <c r="BA2" s="11" t="e">
        <v>#DIV/0!</v>
      </c>
      <c r="BB2" s="11" t="e">
        <v>#DIV/0!</v>
      </c>
      <c r="BC2"/>
    </row>
    <row r="3" spans="1:122" ht="15.75" thickBot="1" x14ac:dyDescent="0.3">
      <c r="A3" s="1">
        <v>46027</v>
      </c>
      <c r="B3" s="34">
        <v>498.52</v>
      </c>
      <c r="C3" s="34">
        <v>748250</v>
      </c>
      <c r="D3" s="16">
        <v>3.3555392808036801E-3</v>
      </c>
      <c r="E3" s="16">
        <v>5.5348345830215197E-3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498.52</v>
      </c>
      <c r="M3" s="34">
        <v>748250</v>
      </c>
      <c r="N3" s="35">
        <v>1500.9427906603501</v>
      </c>
      <c r="O3" s="35">
        <v>1499.9485700668399</v>
      </c>
      <c r="R3" s="34">
        <v>747754.36114972399</v>
      </c>
      <c r="U3" s="16">
        <v>-6.6261687636965402E-4</v>
      </c>
      <c r="X3" s="35">
        <v>1500.9427906603501</v>
      </c>
      <c r="Y3" s="35">
        <v>1499.9485700668399</v>
      </c>
      <c r="AB3" s="34">
        <v>747754.36114972399</v>
      </c>
      <c r="AE3" s="16">
        <v>-6.6261687636965402E-4</v>
      </c>
      <c r="AI3" s="4">
        <f>AI2-AK$12</f>
        <v>-1E-3</v>
      </c>
      <c r="AJ3" s="10">
        <v>4.1274653425368939</v>
      </c>
      <c r="AK3" s="10">
        <v>4.8247624924393717</v>
      </c>
      <c r="AL3" s="10">
        <v>4.0664994817561526</v>
      </c>
      <c r="AM3" s="13">
        <v>2.8790584825527294</v>
      </c>
      <c r="AN3" s="10">
        <v>2.4408502964148764</v>
      </c>
      <c r="AO3" s="10">
        <v>2.1574307701552766</v>
      </c>
      <c r="AP3" s="10">
        <v>2.1574307701552766</v>
      </c>
      <c r="AQ3" s="10">
        <v>1.2750711555097243</v>
      </c>
      <c r="AR3"/>
      <c r="AT3" s="4">
        <f>AT2+AV$12</f>
        <v>1E-3</v>
      </c>
      <c r="AU3" s="10">
        <v>6.0526340569487305</v>
      </c>
      <c r="AV3" s="11">
        <v>5.4594094382068459</v>
      </c>
      <c r="AW3" s="11">
        <v>4.129726692070121</v>
      </c>
      <c r="AX3" s="11">
        <v>2.7059794483145758</v>
      </c>
      <c r="AY3" s="13">
        <v>2.0087777234484241</v>
      </c>
      <c r="AZ3" s="11">
        <v>1.7605528023398269</v>
      </c>
      <c r="BA3" s="11" t="e">
        <v>#DIV/0!</v>
      </c>
      <c r="BB3" s="11" t="e">
        <v>#DIV/0!</v>
      </c>
      <c r="BC3"/>
    </row>
    <row r="4" spans="1:122" x14ac:dyDescent="0.25">
      <c r="A4" s="1">
        <v>46028</v>
      </c>
      <c r="B4" s="34">
        <v>499.05</v>
      </c>
      <c r="C4" s="34">
        <v>748000</v>
      </c>
      <c r="D4" s="16">
        <v>1.06258217441939E-3</v>
      </c>
      <c r="E4" s="16">
        <v>-3.3416875833105602E-4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499.05</v>
      </c>
      <c r="M4" s="34">
        <v>748000</v>
      </c>
      <c r="N4" s="35">
        <v>1498.84781084059</v>
      </c>
      <c r="O4" s="35">
        <v>1499.9485700668399</v>
      </c>
      <c r="R4" s="34">
        <v>748549.33389185905</v>
      </c>
      <c r="U4" s="16">
        <v>7.3413405638069504E-4</v>
      </c>
      <c r="X4" s="35">
        <v>1498.84781084059</v>
      </c>
      <c r="Y4" s="35">
        <v>1499.9485700668399</v>
      </c>
      <c r="AB4" s="34">
        <v>748549.33389185905</v>
      </c>
      <c r="AE4" s="16">
        <v>7.3413405638069504E-4</v>
      </c>
      <c r="AI4" s="4">
        <f>AI3-AK$12</f>
        <v>-2E-3</v>
      </c>
      <c r="AJ4" s="10">
        <v>4.1274653425368939</v>
      </c>
      <c r="AK4" s="11">
        <v>4.8247624924393717</v>
      </c>
      <c r="AL4" s="11">
        <v>3.9412510158073015</v>
      </c>
      <c r="AM4" s="11">
        <v>2.8090480424196862</v>
      </c>
      <c r="AN4" s="10">
        <v>2.3680613153564694</v>
      </c>
      <c r="AO4" s="11">
        <v>2.1574307701552766</v>
      </c>
      <c r="AP4" s="11">
        <v>2.1574307701552766</v>
      </c>
      <c r="AQ4" s="11">
        <v>1.2750711555097243</v>
      </c>
      <c r="AR4"/>
      <c r="AT4" s="4">
        <f t="shared" ref="AT4:AT9" si="1">AT3+AV$12</f>
        <v>2E-3</v>
      </c>
      <c r="AU4" s="10">
        <v>6.0526340569487305</v>
      </c>
      <c r="AV4" s="11">
        <v>5.4594094382068459</v>
      </c>
      <c r="AW4" s="11">
        <v>4.1640962626096076</v>
      </c>
      <c r="AX4" s="11">
        <v>2.7161916592236532</v>
      </c>
      <c r="AY4" s="11">
        <v>1.8003107473029951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22" x14ac:dyDescent="0.25">
      <c r="A5" s="1">
        <v>46029</v>
      </c>
      <c r="B5" s="34">
        <v>496.12</v>
      </c>
      <c r="C5" s="34">
        <v>745000</v>
      </c>
      <c r="D5" s="16">
        <v>-5.88845818546661E-3</v>
      </c>
      <c r="E5" s="16">
        <v>-4.0187595949177403E-3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496.12</v>
      </c>
      <c r="M5" s="34">
        <v>745000</v>
      </c>
      <c r="N5" s="35">
        <v>1501.6528259292099</v>
      </c>
      <c r="O5" s="35">
        <v>1499.9485700668399</v>
      </c>
      <c r="R5" s="34">
        <v>744154.48458156397</v>
      </c>
      <c r="U5" s="16">
        <v>-1.13556453416822E-3</v>
      </c>
      <c r="X5" s="35">
        <v>1501.6528259292099</v>
      </c>
      <c r="Y5" s="35">
        <v>1499.9485700668399</v>
      </c>
      <c r="AB5" s="34">
        <v>744154.48458156397</v>
      </c>
      <c r="AE5" s="16">
        <v>-1.13556453416822E-3</v>
      </c>
      <c r="AI5" s="4">
        <f>AI4-AK$12</f>
        <v>-3.0000000000000001E-3</v>
      </c>
      <c r="AJ5" s="10">
        <v>4.1274653425368939</v>
      </c>
      <c r="AK5" s="11">
        <v>4.8247624924393717</v>
      </c>
      <c r="AL5" s="11">
        <v>3.9412510158073015</v>
      </c>
      <c r="AM5" s="11">
        <v>2.8090480424196862</v>
      </c>
      <c r="AN5" s="11">
        <v>2.3680613153564694</v>
      </c>
      <c r="AO5" s="11">
        <v>2.1574307701552766</v>
      </c>
      <c r="AP5" s="10">
        <v>2.1574307701552766</v>
      </c>
      <c r="AQ5" s="11">
        <v>1.2750711555097243</v>
      </c>
      <c r="AR5"/>
      <c r="AT5" s="4">
        <f t="shared" si="1"/>
        <v>3.0000000000000001E-3</v>
      </c>
      <c r="AU5" s="10">
        <v>6.0526340569487305</v>
      </c>
      <c r="AV5" s="11">
        <v>5.4594094382068459</v>
      </c>
      <c r="AW5" s="11">
        <v>4.1640962626096076</v>
      </c>
      <c r="AX5" s="11">
        <v>2.717918976014122</v>
      </c>
      <c r="AY5" s="11">
        <v>1.8003107473029951</v>
      </c>
      <c r="AZ5" s="11">
        <v>1.2750711555097243</v>
      </c>
      <c r="BA5" s="11" t="e">
        <v>#DIV/0!</v>
      </c>
      <c r="BB5" s="11" t="e">
        <v>#DIV/0!</v>
      </c>
      <c r="BC5"/>
    </row>
    <row r="6" spans="1:122" x14ac:dyDescent="0.25">
      <c r="A6" s="1">
        <v>46030</v>
      </c>
      <c r="B6" s="34">
        <v>499.77</v>
      </c>
      <c r="C6" s="34">
        <v>750300</v>
      </c>
      <c r="D6" s="16">
        <v>7.3301596426063199E-3</v>
      </c>
      <c r="E6" s="16">
        <v>7.0889081721236102E-3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499.77</v>
      </c>
      <c r="M6" s="34">
        <v>750300</v>
      </c>
      <c r="N6" s="35">
        <v>1501.2905936730799</v>
      </c>
      <c r="O6" s="35">
        <v>1499.9485700668399</v>
      </c>
      <c r="R6" s="34">
        <v>749629.296862307</v>
      </c>
      <c r="U6" s="16">
        <v>-8.9431306368542302E-4</v>
      </c>
      <c r="X6" s="35">
        <v>1501.2905936730799</v>
      </c>
      <c r="Y6" s="35">
        <v>1499.9485700668399</v>
      </c>
      <c r="AB6" s="34">
        <v>749629.296862307</v>
      </c>
      <c r="AE6" s="16">
        <v>-8.9431306368542302E-4</v>
      </c>
      <c r="AI6" s="4">
        <f>AI5-AK$12</f>
        <v>-4.0000000000000001E-3</v>
      </c>
      <c r="AJ6" s="10">
        <v>4.1274653425368939</v>
      </c>
      <c r="AK6" s="11">
        <v>4.8247624924393717</v>
      </c>
      <c r="AL6" s="11">
        <v>3.9412510158073015</v>
      </c>
      <c r="AM6" s="11">
        <v>2.8090480424196862</v>
      </c>
      <c r="AN6" s="11">
        <v>2.1770741466283665</v>
      </c>
      <c r="AO6" s="11">
        <v>2.1574307701552766</v>
      </c>
      <c r="AP6" s="11">
        <v>2.1574307701552766</v>
      </c>
      <c r="AQ6" s="11">
        <v>1.2750711555097243</v>
      </c>
      <c r="AR6"/>
      <c r="AT6" s="4">
        <f t="shared" si="1"/>
        <v>4.0000000000000001E-3</v>
      </c>
      <c r="AU6" s="10">
        <v>6.0526340569487305</v>
      </c>
      <c r="AV6" s="11">
        <v>5.4594094382068459</v>
      </c>
      <c r="AW6" s="11">
        <v>4.1640962626096076</v>
      </c>
      <c r="AX6" s="11">
        <v>2.717918976014122</v>
      </c>
      <c r="AY6" s="11">
        <v>1.8003107473029951</v>
      </c>
      <c r="AZ6" s="11">
        <v>1.2750711555097243</v>
      </c>
      <c r="BA6" s="11" t="e">
        <v>#DIV/0!</v>
      </c>
      <c r="BB6" s="11" t="e">
        <v>#DIV/0!</v>
      </c>
      <c r="BC6"/>
    </row>
    <row r="7" spans="1:122" x14ac:dyDescent="0.25">
      <c r="A7" s="1">
        <v>46031</v>
      </c>
      <c r="B7" s="34">
        <v>499.1</v>
      </c>
      <c r="C7" s="34">
        <v>748060</v>
      </c>
      <c r="D7" s="16">
        <v>-1.34151611417151E-3</v>
      </c>
      <c r="E7" s="16">
        <v>-2.9899378904255998E-3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499.1</v>
      </c>
      <c r="M7" s="34">
        <v>748060</v>
      </c>
      <c r="N7" s="35">
        <v>1498.8178721699001</v>
      </c>
      <c r="O7" s="35">
        <v>1499.9485700668399</v>
      </c>
      <c r="R7" s="34">
        <v>748624.33132036298</v>
      </c>
      <c r="U7" s="16">
        <v>7.5410871256861303E-4</v>
      </c>
      <c r="X7" s="35">
        <v>1498.8178721699001</v>
      </c>
      <c r="Y7" s="35">
        <v>1499.9485700668399</v>
      </c>
      <c r="AB7" s="34">
        <v>748624.33132036298</v>
      </c>
      <c r="AE7" s="16">
        <v>7.5410871256861303E-4</v>
      </c>
      <c r="AI7" s="4">
        <f>AI6-AK$12</f>
        <v>-5.0000000000000001E-3</v>
      </c>
      <c r="AJ7" s="10">
        <v>4.1274653425368939</v>
      </c>
      <c r="AK7" s="11">
        <v>4.8247624924393717</v>
      </c>
      <c r="AL7" s="11">
        <v>3.9412510158073015</v>
      </c>
      <c r="AM7" s="11">
        <v>2.8090480424196862</v>
      </c>
      <c r="AN7" s="11">
        <v>2.1770741466283665</v>
      </c>
      <c r="AO7" s="11">
        <v>2.1574307701552766</v>
      </c>
      <c r="AP7" s="11">
        <v>2.1574307701552766</v>
      </c>
      <c r="AQ7" s="11">
        <v>1.2750711555097243</v>
      </c>
      <c r="AR7"/>
      <c r="AT7" s="4">
        <f t="shared" si="1"/>
        <v>5.0000000000000001E-3</v>
      </c>
      <c r="AU7" s="10">
        <v>6.0526340569487305</v>
      </c>
      <c r="AV7" s="11">
        <v>5.4594094382068459</v>
      </c>
      <c r="AW7" s="11">
        <v>4.1640962626096076</v>
      </c>
      <c r="AX7" s="11">
        <v>2.717918976014122</v>
      </c>
      <c r="AY7" s="11">
        <v>1.8003107473029951</v>
      </c>
      <c r="AZ7" s="11">
        <v>1.2750711555097243</v>
      </c>
      <c r="BA7" s="11" t="e">
        <v>#DIV/0!</v>
      </c>
      <c r="BB7" s="11" t="e">
        <v>#DIV/0!</v>
      </c>
      <c r="BC7"/>
    </row>
    <row r="8" spans="1:122" x14ac:dyDescent="0.25">
      <c r="A8" s="1">
        <v>46034</v>
      </c>
      <c r="B8" s="34">
        <v>498.67</v>
      </c>
      <c r="C8" s="34">
        <v>747860</v>
      </c>
      <c r="D8" s="16">
        <v>-8.6192213961322104E-4</v>
      </c>
      <c r="E8" s="16">
        <v>-2.67393979880848E-4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498.67</v>
      </c>
      <c r="M8" s="34">
        <v>747860</v>
      </c>
      <c r="N8" s="35">
        <v>1499.7092265425999</v>
      </c>
      <c r="O8" s="35">
        <v>1499.9485700668399</v>
      </c>
      <c r="R8" s="34">
        <v>747979.35343523405</v>
      </c>
      <c r="U8" s="16">
        <v>1.5958055283641701E-4</v>
      </c>
      <c r="X8" s="35">
        <v>1499.7092265425999</v>
      </c>
      <c r="Y8" s="35">
        <v>1499.9485700668399</v>
      </c>
      <c r="AB8" s="34">
        <v>747979.35343523405</v>
      </c>
      <c r="AE8" s="16">
        <v>1.5958055283641701E-4</v>
      </c>
      <c r="AI8" s="4">
        <f>AI7-AK$12</f>
        <v>-6.0000000000000001E-3</v>
      </c>
      <c r="AJ8" s="10">
        <v>4.1274653425368939</v>
      </c>
      <c r="AK8" s="11">
        <v>4.8247624924393717</v>
      </c>
      <c r="AL8" s="11">
        <v>3.9412510158073015</v>
      </c>
      <c r="AM8" s="11">
        <v>2.8090480424196862</v>
      </c>
      <c r="AN8" s="11">
        <v>2.1770741466283665</v>
      </c>
      <c r="AO8" s="11">
        <v>2.1574307701552766</v>
      </c>
      <c r="AP8" s="11">
        <v>2.1574307701552766</v>
      </c>
      <c r="AQ8" s="11">
        <v>1.2750711555097243</v>
      </c>
      <c r="AR8"/>
      <c r="AT8" s="4">
        <f t="shared" si="1"/>
        <v>6.0000000000000001E-3</v>
      </c>
      <c r="AU8" s="10">
        <v>6.0526340569487305</v>
      </c>
      <c r="AV8" s="11">
        <v>5.4594094382068459</v>
      </c>
      <c r="AW8" s="11">
        <v>4.1640962626096076</v>
      </c>
      <c r="AX8" s="11">
        <v>2.717918976014122</v>
      </c>
      <c r="AY8" s="11">
        <v>1.8003107473029951</v>
      </c>
      <c r="AZ8" s="11">
        <v>1.2750711555097243</v>
      </c>
      <c r="BA8" s="11" t="e">
        <v>#DIV/0!</v>
      </c>
      <c r="BB8" s="11" t="e">
        <v>#DIV/0!</v>
      </c>
      <c r="BC8"/>
    </row>
    <row r="9" spans="1:122" x14ac:dyDescent="0.25">
      <c r="A9" s="1">
        <v>46035</v>
      </c>
      <c r="B9" s="34">
        <v>495.24</v>
      </c>
      <c r="C9" s="34">
        <v>742300</v>
      </c>
      <c r="D9" s="16">
        <v>-6.9020607834596398E-3</v>
      </c>
      <c r="E9" s="16">
        <v>-7.4623205578753403E-3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495.24</v>
      </c>
      <c r="M9" s="34">
        <v>742300</v>
      </c>
      <c r="N9" s="35">
        <v>1498.8692351183199</v>
      </c>
      <c r="O9" s="35">
        <v>1499.9485700668399</v>
      </c>
      <c r="R9" s="34">
        <v>742834.52983990498</v>
      </c>
      <c r="U9" s="16">
        <v>7.1984032725208298E-4</v>
      </c>
      <c r="X9" s="35">
        <v>1498.8692351183199</v>
      </c>
      <c r="Y9" s="35">
        <v>1499.9485700668399</v>
      </c>
      <c r="AB9" s="34">
        <v>742834.52983990498</v>
      </c>
      <c r="AE9" s="16">
        <v>7.1984032725208298E-4</v>
      </c>
      <c r="AI9" s="4">
        <f>AI8-AK$12</f>
        <v>-7.0000000000000001E-3</v>
      </c>
      <c r="AJ9" s="10">
        <v>4.1274653425368939</v>
      </c>
      <c r="AK9" s="11">
        <v>4.8247624924393717</v>
      </c>
      <c r="AL9" s="11">
        <v>3.9412510158073015</v>
      </c>
      <c r="AM9" s="11">
        <v>2.8090480424196862</v>
      </c>
      <c r="AN9" s="11">
        <v>2.1770741466283665</v>
      </c>
      <c r="AO9" s="11">
        <v>2.1574307701552766</v>
      </c>
      <c r="AP9" s="11">
        <v>2.1574307701552766</v>
      </c>
      <c r="AQ9" s="11">
        <v>1.2750711555097243</v>
      </c>
      <c r="AR9"/>
      <c r="AT9" s="4">
        <f t="shared" si="1"/>
        <v>7.0000000000000001E-3</v>
      </c>
      <c r="AU9" s="10">
        <v>6.0526340569487305</v>
      </c>
      <c r="AV9" s="10">
        <v>5.4594094382068459</v>
      </c>
      <c r="AW9" s="10">
        <v>4.1640962626096076</v>
      </c>
      <c r="AX9" s="10">
        <v>2.717918976014122</v>
      </c>
      <c r="AY9" s="10">
        <v>1.8003107473029951</v>
      </c>
      <c r="AZ9" s="10">
        <v>1.2750711555097243</v>
      </c>
      <c r="BA9" s="10" t="e">
        <v>#DIV/0!</v>
      </c>
      <c r="BB9" s="10" t="e">
        <v>#DIV/0!</v>
      </c>
      <c r="BC9"/>
    </row>
    <row r="10" spans="1:122" x14ac:dyDescent="0.25">
      <c r="A10" s="1">
        <v>46036</v>
      </c>
      <c r="B10" s="34">
        <v>493.15</v>
      </c>
      <c r="C10" s="34">
        <v>743437.69</v>
      </c>
      <c r="D10" s="16">
        <v>-4.2291061524882797E-3</v>
      </c>
      <c r="E10" s="16">
        <v>1.5314819433098999E-3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493.15</v>
      </c>
      <c r="M10" s="34">
        <v>743437.69</v>
      </c>
      <c r="N10" s="35">
        <v>1507.5285207340501</v>
      </c>
      <c r="O10" s="35">
        <v>1499.9485700668399</v>
      </c>
      <c r="R10" s="34">
        <v>739699.637328465</v>
      </c>
      <c r="U10" s="16">
        <v>-5.04074776854608E-3</v>
      </c>
      <c r="X10" s="35">
        <v>1507.5285207340501</v>
      </c>
      <c r="Y10" s="35">
        <v>1499.9485700668399</v>
      </c>
      <c r="AB10" s="34">
        <v>739699.637328465</v>
      </c>
      <c r="AE10" s="16">
        <v>-5.04074776854608E-3</v>
      </c>
      <c r="AI10" s="14" t="s">
        <v>34</v>
      </c>
      <c r="AJ10"/>
      <c r="AK10"/>
      <c r="AL10"/>
      <c r="AM10"/>
      <c r="AN10"/>
      <c r="AO10"/>
      <c r="AP10"/>
      <c r="AQ10"/>
      <c r="AR10"/>
      <c r="AT10" s="14" t="s">
        <v>34</v>
      </c>
      <c r="AU10"/>
      <c r="AV10"/>
      <c r="AW10"/>
      <c r="AX10"/>
      <c r="AY10"/>
      <c r="AZ10"/>
      <c r="BA10"/>
      <c r="BB10"/>
      <c r="BC10"/>
      <c r="BZ10" s="15"/>
      <c r="CL10" s="15"/>
    </row>
    <row r="11" spans="1:122" x14ac:dyDescent="0.25">
      <c r="A11" s="1">
        <v>46037</v>
      </c>
      <c r="B11" s="34">
        <v>492.62</v>
      </c>
      <c r="C11" s="34">
        <v>738690.88</v>
      </c>
      <c r="D11" s="16">
        <v>-1.0753016445392699E-3</v>
      </c>
      <c r="E11" s="16">
        <v>-6.4054176215982504E-3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492.62</v>
      </c>
      <c r="M11" s="34">
        <v>738690.88</v>
      </c>
      <c r="N11" s="35">
        <v>1499.5145954285199</v>
      </c>
      <c r="O11" s="35">
        <v>1499.9485700668399</v>
      </c>
      <c r="P11" s="35">
        <v>1500.48488258315</v>
      </c>
      <c r="R11" s="34">
        <v>738904.66458632995</v>
      </c>
      <c r="U11" s="16">
        <v>2.89368208512983E-4</v>
      </c>
      <c r="X11" s="35">
        <v>1499.5145954285199</v>
      </c>
      <c r="Y11" s="35">
        <v>1499.9485700668399</v>
      </c>
      <c r="Z11" s="35">
        <v>1500.48488258315</v>
      </c>
      <c r="AB11" s="34">
        <v>738904.66458632995</v>
      </c>
      <c r="AE11" s="16">
        <v>2.89368208512983E-4</v>
      </c>
      <c r="AL11" s="17" t="s">
        <v>35</v>
      </c>
      <c r="AM11" s="17" t="s">
        <v>36</v>
      </c>
      <c r="AW11" s="17" t="s">
        <v>35</v>
      </c>
      <c r="AX11" s="17" t="s">
        <v>36</v>
      </c>
    </row>
    <row r="12" spans="1:122" x14ac:dyDescent="0.25">
      <c r="A12" s="1">
        <v>46038</v>
      </c>
      <c r="B12" s="34">
        <v>493.29</v>
      </c>
      <c r="C12" s="34">
        <v>740750</v>
      </c>
      <c r="D12" s="16">
        <v>1.3591506387812199E-3</v>
      </c>
      <c r="E12" s="16">
        <v>2.7836480084617301E-3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493.29</v>
      </c>
      <c r="M12" s="34">
        <v>740750</v>
      </c>
      <c r="N12" s="35">
        <v>1501.65217215025</v>
      </c>
      <c r="O12" s="35">
        <v>1499.9485700668399</v>
      </c>
      <c r="P12" s="35">
        <v>1500.8825643246901</v>
      </c>
      <c r="R12" s="34">
        <v>739909.63012827397</v>
      </c>
      <c r="S12" s="34">
        <v>740174.18772944203</v>
      </c>
      <c r="U12" s="16">
        <v>-1.13512916116752E-3</v>
      </c>
      <c r="V12" s="16">
        <v>-7.7763913149118296E-4</v>
      </c>
      <c r="X12" s="35">
        <v>1501.65217215025</v>
      </c>
      <c r="Y12" s="35">
        <v>1499.9485700668399</v>
      </c>
      <c r="Z12" s="35">
        <v>1500.8825643246901</v>
      </c>
      <c r="AB12" s="34">
        <v>739909.63012827397</v>
      </c>
      <c r="AC12" s="34">
        <v>740174.18772944203</v>
      </c>
      <c r="AE12" s="16">
        <v>-1.13512916116752E-3</v>
      </c>
      <c r="AF12" s="16">
        <v>-7.7763913149118296E-4</v>
      </c>
      <c r="AK12" s="18">
        <v>1E-3</v>
      </c>
      <c r="AL12" s="19" t="s">
        <v>37</v>
      </c>
      <c r="AM12" s="20" t="s">
        <v>38</v>
      </c>
      <c r="AV12" s="18">
        <v>1E-3</v>
      </c>
      <c r="AW12" s="19" t="s">
        <v>39</v>
      </c>
      <c r="AX12" s="20" t="s">
        <v>40</v>
      </c>
    </row>
    <row r="13" spans="1:122" x14ac:dyDescent="0.25">
      <c r="A13" s="1">
        <v>46042</v>
      </c>
      <c r="B13" s="34">
        <v>485.39</v>
      </c>
      <c r="C13" s="34">
        <v>727500.06</v>
      </c>
      <c r="D13" s="16">
        <v>-1.6144544879677598E-2</v>
      </c>
      <c r="E13" s="16">
        <v>-1.80491049338036E-2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485.39</v>
      </c>
      <c r="M13" s="34">
        <v>727500.06</v>
      </c>
      <c r="N13" s="35">
        <v>1498.79490718803</v>
      </c>
      <c r="O13" s="35">
        <v>1499.9485700668399</v>
      </c>
      <c r="P13" s="35">
        <v>1500.66777597746</v>
      </c>
      <c r="R13" s="34">
        <v>728060.03642474604</v>
      </c>
      <c r="S13" s="34">
        <v>728513.387897562</v>
      </c>
      <c r="U13" s="16">
        <v>7.6943089295828304E-4</v>
      </c>
      <c r="V13" s="16">
        <v>1.3919212939016801E-3</v>
      </c>
      <c r="X13" s="35">
        <v>1498.79490718803</v>
      </c>
      <c r="Y13" s="35">
        <v>1499.9485700668399</v>
      </c>
      <c r="Z13" s="35">
        <v>1500.66777597746</v>
      </c>
      <c r="AB13" s="34">
        <v>728060.03642474604</v>
      </c>
      <c r="AC13" s="34">
        <v>728513.387897562</v>
      </c>
      <c r="AE13" s="16">
        <v>7.6943089295828304E-4</v>
      </c>
      <c r="AF13" s="16">
        <v>1.3919212939016801E-3</v>
      </c>
    </row>
    <row r="14" spans="1:122" x14ac:dyDescent="0.25">
      <c r="A14" s="1">
        <v>46043</v>
      </c>
      <c r="B14" s="34">
        <v>483.83</v>
      </c>
      <c r="C14" s="34">
        <v>724079.5</v>
      </c>
      <c r="D14" s="16">
        <v>-3.2190861664572398E-3</v>
      </c>
      <c r="E14" s="16">
        <v>-4.7128885326271101E-3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483.83</v>
      </c>
      <c r="M14" s="34">
        <v>724079.5</v>
      </c>
      <c r="N14" s="35">
        <v>1496.5576752165</v>
      </c>
      <c r="O14" s="35">
        <v>1499.9485700668399</v>
      </c>
      <c r="P14" s="35">
        <v>1500.43876241505</v>
      </c>
      <c r="R14" s="34">
        <v>725720.11665544205</v>
      </c>
      <c r="S14" s="34">
        <v>726068.09005117405</v>
      </c>
      <c r="U14" s="16">
        <v>2.2632332591281902E-3</v>
      </c>
      <c r="V14" s="16">
        <v>2.74260538901391E-3</v>
      </c>
      <c r="X14" s="35">
        <v>1496.5576752165</v>
      </c>
      <c r="Y14" s="35">
        <v>1499.9485700668399</v>
      </c>
      <c r="Z14" s="35">
        <v>1500.43876241505</v>
      </c>
      <c r="AB14" s="34">
        <v>725720.11665544205</v>
      </c>
      <c r="AC14" s="34">
        <v>726068.09005117405</v>
      </c>
      <c r="AE14" s="16">
        <v>2.2632332591281902E-3</v>
      </c>
      <c r="AF14" s="16">
        <v>2.74260538901391E-3</v>
      </c>
      <c r="AQ14" s="21">
        <f>AVERAGE(AQ22:AQ176)</f>
        <v>1.8206492945962413E-4</v>
      </c>
      <c r="AR14" s="22" t="s">
        <v>41</v>
      </c>
      <c r="BB14" s="21">
        <f>AVERAGE(BB22:BB176)</f>
        <v>6.7091253646452758E-5</v>
      </c>
      <c r="BC14" s="22" t="s">
        <v>41</v>
      </c>
      <c r="BD14" s="23"/>
      <c r="BE14" s="21">
        <f>AVERAGE(BE22:BE176)</f>
        <v>2.491561831060769E-4</v>
      </c>
      <c r="BF14" s="22" t="s">
        <v>41</v>
      </c>
    </row>
    <row r="15" spans="1:122" x14ac:dyDescent="0.25">
      <c r="A15" s="1">
        <v>46044</v>
      </c>
      <c r="B15" s="34">
        <v>484.49</v>
      </c>
      <c r="C15" s="34">
        <v>726200</v>
      </c>
      <c r="D15" s="16">
        <v>1.3631859348257501E-3</v>
      </c>
      <c r="E15" s="16">
        <v>2.9242659929915502E-3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484.49</v>
      </c>
      <c r="M15" s="34">
        <v>726200</v>
      </c>
      <c r="N15" s="35">
        <v>1498.89574604223</v>
      </c>
      <c r="O15" s="35">
        <v>1499.9485700668399</v>
      </c>
      <c r="P15" s="35">
        <v>1500.1630544263501</v>
      </c>
      <c r="R15" s="34">
        <v>726710.08271168603</v>
      </c>
      <c r="S15" s="34">
        <v>726947.57600246801</v>
      </c>
      <c r="U15" s="16">
        <v>7.0215320096240303E-4</v>
      </c>
      <c r="V15" s="16">
        <v>1.0289059153595799E-3</v>
      </c>
      <c r="X15" s="35">
        <v>1498.89574604223</v>
      </c>
      <c r="Y15" s="35">
        <v>1499.9485700668399</v>
      </c>
      <c r="Z15" s="35">
        <v>1500.1630544263501</v>
      </c>
      <c r="AB15" s="34">
        <v>726710.08271168603</v>
      </c>
      <c r="AC15" s="34">
        <v>726947.57600246801</v>
      </c>
      <c r="AE15" s="16">
        <v>7.0215320096240303E-4</v>
      </c>
      <c r="AF15" s="16">
        <v>1.0289059153595799E-3</v>
      </c>
      <c r="AQ15" s="21">
        <f>STDEV(AQ22:AQ176)</f>
        <v>1.1840919367915404E-3</v>
      </c>
      <c r="AR15" s="22" t="s">
        <v>42</v>
      </c>
      <c r="BB15" s="21">
        <f>STDEV(BB22:BB176)</f>
        <v>5.3019337149362881E-4</v>
      </c>
      <c r="BC15" s="22" t="s">
        <v>42</v>
      </c>
      <c r="BD15" s="23"/>
      <c r="BE15" s="21">
        <f>STDEV(BE22:BE176)</f>
        <v>1.2878626329406067E-3</v>
      </c>
      <c r="BF15" s="22" t="s">
        <v>42</v>
      </c>
    </row>
    <row r="16" spans="1:122" x14ac:dyDescent="0.25">
      <c r="A16" s="1">
        <v>46045</v>
      </c>
      <c r="B16" s="34">
        <v>478.97</v>
      </c>
      <c r="C16" s="34">
        <v>720932.19</v>
      </c>
      <c r="D16" s="16">
        <v>-1.1458826313557401E-2</v>
      </c>
      <c r="E16" s="16">
        <v>-7.28037604891036E-3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478.97</v>
      </c>
      <c r="M16" s="34">
        <v>720932.19</v>
      </c>
      <c r="N16" s="35">
        <v>1505.1719105580701</v>
      </c>
      <c r="O16" s="35">
        <v>1499.9485700668399</v>
      </c>
      <c r="P16" s="35">
        <v>1500.55118611485</v>
      </c>
      <c r="R16" s="34">
        <v>718430.36660491698</v>
      </c>
      <c r="S16" s="34">
        <v>718533.09817858995</v>
      </c>
      <c r="U16" s="16">
        <v>-3.4762970636845799E-3</v>
      </c>
      <c r="V16" s="16">
        <v>-3.33331281061849E-3</v>
      </c>
      <c r="X16" s="35">
        <v>1505.1719105580701</v>
      </c>
      <c r="Y16" s="35">
        <v>1499.9485700668399</v>
      </c>
      <c r="Z16" s="35">
        <v>1500.55118611485</v>
      </c>
      <c r="AB16" s="34">
        <v>718430.36660491698</v>
      </c>
      <c r="AC16" s="34">
        <v>718533.09817858995</v>
      </c>
      <c r="AE16" s="16">
        <v>-3.4762970636845799E-3</v>
      </c>
      <c r="AF16" s="16">
        <v>-3.33331281061849E-3</v>
      </c>
      <c r="AQ16" s="24">
        <f>SQRT(252)*AQ14/AQ15</f>
        <v>2.4408502964148764</v>
      </c>
      <c r="AR16" s="22" t="s">
        <v>43</v>
      </c>
      <c r="BB16" s="24">
        <f>SQRT(252)*BB14/BB15</f>
        <v>2.0087777234484241</v>
      </c>
      <c r="BC16" s="22" t="s">
        <v>43</v>
      </c>
      <c r="BD16" s="23"/>
      <c r="BE16" s="24">
        <f>SQRT(252)*BE14/BE15</f>
        <v>3.0711596776788532</v>
      </c>
      <c r="BF16" s="22" t="s">
        <v>43</v>
      </c>
    </row>
    <row r="17" spans="1:122" x14ac:dyDescent="0.25">
      <c r="A17" s="1">
        <v>46048</v>
      </c>
      <c r="B17" s="34">
        <v>483.47</v>
      </c>
      <c r="C17" s="34">
        <v>726420</v>
      </c>
      <c r="D17" s="16">
        <v>9.3513004291376194E-3</v>
      </c>
      <c r="E17" s="16">
        <v>7.5832770163787701E-3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483.47</v>
      </c>
      <c r="M17" s="34">
        <v>726420</v>
      </c>
      <c r="N17" s="35">
        <v>1502.5130825076999</v>
      </c>
      <c r="O17" s="35">
        <v>1499.9485700668399</v>
      </c>
      <c r="P17" s="35">
        <v>1500.9207071486301</v>
      </c>
      <c r="R17" s="34">
        <v>725180.13517021795</v>
      </c>
      <c r="S17" s="34">
        <v>725471.48195094697</v>
      </c>
      <c r="U17" s="16">
        <v>-1.7082736509259099E-3</v>
      </c>
      <c r="V17" s="16">
        <v>-1.30659652706331E-3</v>
      </c>
      <c r="X17" s="35">
        <v>1502.5130825076999</v>
      </c>
      <c r="Y17" s="35">
        <v>1499.9485700668399</v>
      </c>
      <c r="Z17" s="35">
        <v>1500.9207071486301</v>
      </c>
      <c r="AB17" s="34">
        <v>725180.13517021795</v>
      </c>
      <c r="AC17" s="34">
        <v>725471.48195094697</v>
      </c>
      <c r="AE17" s="16">
        <v>-1.7082736509259099E-3</v>
      </c>
      <c r="AF17" s="16">
        <v>-1.30659652706331E-3</v>
      </c>
    </row>
    <row r="18" spans="1:122" x14ac:dyDescent="0.25">
      <c r="A18" s="1">
        <v>46049</v>
      </c>
      <c r="B18" s="34">
        <v>474.67</v>
      </c>
      <c r="C18" s="34">
        <v>713000</v>
      </c>
      <c r="D18" s="16">
        <v>-1.8369439647451299E-2</v>
      </c>
      <c r="E18" s="16">
        <v>-1.8646939533407899E-2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474.67</v>
      </c>
      <c r="M18" s="34">
        <v>713000</v>
      </c>
      <c r="N18" s="35">
        <v>1502.09619314471</v>
      </c>
      <c r="O18" s="35">
        <v>1499.9485700668399</v>
      </c>
      <c r="P18" s="35">
        <v>1501.1594038088399</v>
      </c>
      <c r="R18" s="34">
        <v>711980.58775363001</v>
      </c>
      <c r="S18" s="34">
        <v>712442.03206223994</v>
      </c>
      <c r="U18" s="16">
        <v>-1.4307737649693301E-3</v>
      </c>
      <c r="V18" s="16">
        <v>-7.8287009040914997E-4</v>
      </c>
      <c r="X18" s="35">
        <v>1502.09619314471</v>
      </c>
      <c r="Y18" s="35">
        <v>1499.9485700668399</v>
      </c>
      <c r="Z18" s="35">
        <v>1501.1594038088399</v>
      </c>
      <c r="AB18" s="34">
        <v>711980.58775363001</v>
      </c>
      <c r="AC18" s="34">
        <v>712442.03206223994</v>
      </c>
      <c r="AE18" s="16">
        <v>-1.4307737649693301E-3</v>
      </c>
      <c r="AF18" s="16">
        <v>-7.8287009040914997E-4</v>
      </c>
      <c r="BE18" s="25">
        <f>SUM(BE22:BE176)</f>
        <v>3.8619208381441922E-2</v>
      </c>
      <c r="BF18" s="21">
        <f>BF176</f>
        <v>3.8619208381441922E-2</v>
      </c>
    </row>
    <row r="19" spans="1:122" x14ac:dyDescent="0.25">
      <c r="A19" s="1">
        <v>46050</v>
      </c>
      <c r="B19" s="34">
        <v>473.49</v>
      </c>
      <c r="C19" s="34">
        <v>709500</v>
      </c>
      <c r="D19" s="16">
        <v>-2.48903267212881E-3</v>
      </c>
      <c r="E19" s="16">
        <v>-4.9209238141985703E-3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473.49</v>
      </c>
      <c r="M19" s="34">
        <v>709500</v>
      </c>
      <c r="N19" s="35">
        <v>1498.4476968890499</v>
      </c>
      <c r="O19" s="35">
        <v>1499.9485700668399</v>
      </c>
      <c r="P19" s="35">
        <v>1501.1172499859099</v>
      </c>
      <c r="R19" s="34">
        <v>710210.64844095102</v>
      </c>
      <c r="S19" s="34">
        <v>710783.966109448</v>
      </c>
      <c r="U19" s="16">
        <v>1.00111737710037E-3</v>
      </c>
      <c r="V19" s="16">
        <v>1.80804189846795E-3</v>
      </c>
      <c r="X19" s="35">
        <v>1498.4476968890499</v>
      </c>
      <c r="Y19" s="35">
        <v>1499.9485700668399</v>
      </c>
      <c r="Z19" s="35">
        <v>1501.1172499859099</v>
      </c>
      <c r="AB19" s="34">
        <v>710210.64844095102</v>
      </c>
      <c r="AC19" s="34">
        <v>710783.966109448</v>
      </c>
      <c r="AE19" s="16">
        <v>1.00111737710037E-3</v>
      </c>
      <c r="AF19" s="16">
        <v>1.80804189846795E-3</v>
      </c>
      <c r="AI19" s="12"/>
      <c r="AJ19"/>
      <c r="AK19"/>
      <c r="AL19"/>
      <c r="AM19"/>
      <c r="AN19"/>
      <c r="AO19"/>
      <c r="AP19"/>
      <c r="AQ19" s="25">
        <f>SUM(AQ22:AQ176)</f>
        <v>2.8220064066241741E-2</v>
      </c>
      <c r="AR19" s="25">
        <f>AR176</f>
        <v>2.8220064066241741E-2</v>
      </c>
      <c r="AU19"/>
      <c r="AV19"/>
      <c r="AW19"/>
      <c r="AX19"/>
      <c r="AY19"/>
      <c r="AZ19"/>
      <c r="BA19"/>
      <c r="BB19" s="25">
        <f>SUM(BB22:BB176)</f>
        <v>1.0399144315200178E-2</v>
      </c>
      <c r="BC19" s="25">
        <f>BC176</f>
        <v>1.0399144315200178E-2</v>
      </c>
      <c r="BE19" s="7" t="s">
        <v>44</v>
      </c>
      <c r="BF19" s="7" t="s">
        <v>44</v>
      </c>
      <c r="BH19" s="7"/>
    </row>
    <row r="20" spans="1:122" x14ac:dyDescent="0.25">
      <c r="A20" s="1">
        <v>46051</v>
      </c>
      <c r="B20" s="34">
        <v>476.79</v>
      </c>
      <c r="C20" s="34">
        <v>714000</v>
      </c>
      <c r="D20" s="16">
        <v>6.9453492979026903E-3</v>
      </c>
      <c r="E20" s="16">
        <v>6.3224657394871002E-3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476.79</v>
      </c>
      <c r="M20" s="34">
        <v>714000</v>
      </c>
      <c r="N20" s="35">
        <v>1497.51462908198</v>
      </c>
      <c r="O20" s="35">
        <v>1499.9485700668399</v>
      </c>
      <c r="P20" s="35">
        <v>1500.1158608206999</v>
      </c>
      <c r="R20" s="34">
        <v>715160.47872217104</v>
      </c>
      <c r="S20" s="34">
        <v>715717.69362078398</v>
      </c>
      <c r="U20" s="16">
        <v>1.62400093551608E-3</v>
      </c>
      <c r="V20" s="16">
        <v>2.4028442186828799E-3</v>
      </c>
      <c r="X20" s="35">
        <v>1497.51462908198</v>
      </c>
      <c r="Y20" s="35">
        <v>1499.9485700668399</v>
      </c>
      <c r="Z20" s="35">
        <v>1500.1158608206999</v>
      </c>
      <c r="AB20" s="34">
        <v>715160.47872217104</v>
      </c>
      <c r="AC20" s="34">
        <v>715717.69362078398</v>
      </c>
      <c r="AE20" s="16">
        <v>1.62400093551608E-3</v>
      </c>
      <c r="AF20" s="16">
        <v>2.4028442186828799E-3</v>
      </c>
      <c r="AI20" s="26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BRK B log rtn</v>
      </c>
      <c r="AP20" s="7" t="str">
        <f>E1</f>
        <v>BRK A log rtn</v>
      </c>
      <c r="AQ20" s="7" t="s">
        <v>51</v>
      </c>
      <c r="AR20" s="7" t="s">
        <v>52</v>
      </c>
      <c r="AT20" s="26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5" t="str">
        <f>D1</f>
        <v>BRK B log rtn</v>
      </c>
      <c r="BA20" s="25" t="str">
        <f>E1</f>
        <v>BRK 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2" x14ac:dyDescent="0.25">
      <c r="A21" s="1">
        <v>46052</v>
      </c>
      <c r="B21" s="34">
        <v>480.53</v>
      </c>
      <c r="C21" s="34">
        <v>722500</v>
      </c>
      <c r="D21" s="16">
        <v>7.8135190481075402E-3</v>
      </c>
      <c r="E21" s="16">
        <v>1.1834457647002699E-2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480.53</v>
      </c>
      <c r="M21" s="34">
        <v>722500</v>
      </c>
      <c r="N21" s="35">
        <v>1503.5481655671799</v>
      </c>
      <c r="O21" s="35">
        <v>1499.9485700668399</v>
      </c>
      <c r="P21" s="35">
        <v>1500.5192178345701</v>
      </c>
      <c r="Q21" s="35">
        <v>1500.5020502088601</v>
      </c>
      <c r="R21" s="34">
        <v>720770.28637422097</v>
      </c>
      <c r="S21" s="34">
        <v>720850.67460017395</v>
      </c>
      <c r="U21" s="16">
        <v>-2.39693766337926E-3</v>
      </c>
      <c r="V21" s="16">
        <v>-2.2854128892361102E-3</v>
      </c>
      <c r="X21" s="35">
        <v>1503.5481655671799</v>
      </c>
      <c r="Y21" s="35">
        <v>1499.9485700668399</v>
      </c>
      <c r="Z21" s="35">
        <v>1500.5192178345701</v>
      </c>
      <c r="AA21" s="35">
        <v>1500.5020502088601</v>
      </c>
      <c r="AB21" s="34">
        <v>720770.28637422097</v>
      </c>
      <c r="AC21" s="34">
        <v>720850.67460017395</v>
      </c>
      <c r="AE21" s="16">
        <v>-2.39693766337926E-3</v>
      </c>
      <c r="AF21" s="16">
        <v>-2.2854128892361102E-3</v>
      </c>
      <c r="AI21" s="27">
        <v>-4.0000000000000001E-3</v>
      </c>
      <c r="AJ21"/>
      <c r="AK21"/>
      <c r="AL21"/>
      <c r="AM21">
        <f>IF(F22+H22&gt;0,0,1)</f>
        <v>1</v>
      </c>
      <c r="AN21" s="28">
        <v>0</v>
      </c>
      <c r="AO21"/>
      <c r="AP21"/>
      <c r="AQ21"/>
      <c r="AR21"/>
      <c r="AT21" s="27">
        <v>4.0000000000000001E-3</v>
      </c>
      <c r="AU21"/>
      <c r="AV21"/>
      <c r="AW21"/>
      <c r="AX21">
        <f>IF(F22+H22&gt;0,0,1)</f>
        <v>1</v>
      </c>
      <c r="AY21" s="28">
        <v>0</v>
      </c>
      <c r="AZ21"/>
      <c r="BA21"/>
      <c r="BB21"/>
      <c r="BC21"/>
    </row>
    <row r="22" spans="1:122" x14ac:dyDescent="0.25">
      <c r="A22" s="1">
        <v>46055</v>
      </c>
      <c r="B22" s="34">
        <v>487.29</v>
      </c>
      <c r="C22" s="34">
        <v>729425</v>
      </c>
      <c r="D22" s="16">
        <v>1.3969766974468599E-2</v>
      </c>
      <c r="E22" s="16">
        <v>9.5391325469938396E-3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487.29</v>
      </c>
      <c r="M22" s="34">
        <v>729425</v>
      </c>
      <c r="N22" s="35">
        <v>1496.9012292474699</v>
      </c>
      <c r="O22" s="35">
        <v>1499.9485700668399</v>
      </c>
      <c r="P22" s="35">
        <v>1500.04412354429</v>
      </c>
      <c r="Q22" s="35">
        <v>1500.46334393449</v>
      </c>
      <c r="R22" s="34">
        <v>730909.93870787299</v>
      </c>
      <c r="S22" s="34">
        <v>731188.00965860905</v>
      </c>
      <c r="T22" s="34">
        <v>731179.64404627599</v>
      </c>
      <c r="U22" s="16">
        <v>2.0336967640956498E-3</v>
      </c>
      <c r="V22" s="16">
        <v>2.4140693026102498E-3</v>
      </c>
      <c r="W22" s="16">
        <v>2.40262811364212E-3</v>
      </c>
      <c r="X22" s="35">
        <v>1496.9012292474699</v>
      </c>
      <c r="Y22" s="35">
        <v>1499.9485700668399</v>
      </c>
      <c r="Z22" s="35">
        <v>1500.04412354429</v>
      </c>
      <c r="AA22" s="35">
        <v>1500.46334393449</v>
      </c>
      <c r="AB22" s="34">
        <v>730909.93870787299</v>
      </c>
      <c r="AC22" s="34">
        <v>731188.00965860905</v>
      </c>
      <c r="AD22" s="34">
        <v>731179.64404627599</v>
      </c>
      <c r="AE22" s="16">
        <v>2.0336967640956498E-3</v>
      </c>
      <c r="AF22" s="16">
        <v>2.4140693026102498E-3</v>
      </c>
      <c r="AG22" s="16">
        <v>2.40262811364212E-3</v>
      </c>
      <c r="AI22" s="27">
        <v>-1E-3</v>
      </c>
      <c r="AJ22">
        <f>IF($AG22&lt;AI$21,1,0)</f>
        <v>0</v>
      </c>
      <c r="AK22">
        <f>IF($AG22&gt;AI$22,1,0)</f>
        <v>1</v>
      </c>
      <c r="AL22">
        <f>AN21</f>
        <v>0</v>
      </c>
      <c r="AM22">
        <f>IF(F23+H23&gt;0,0,1)</f>
        <v>1</v>
      </c>
      <c r="AN22">
        <f>IF(AJ21,1,IF(AK21,0,AL21))*AM21</f>
        <v>0</v>
      </c>
      <c r="AO22" s="29">
        <f>AN22*D22</f>
        <v>0</v>
      </c>
      <c r="AP22" s="29">
        <f>-AN22*$E22</f>
        <v>0</v>
      </c>
      <c r="AQ22" s="29">
        <f>AO22+AP22</f>
        <v>0</v>
      </c>
      <c r="AR22" s="30">
        <f>AR21+AQ22</f>
        <v>0</v>
      </c>
      <c r="AT22" s="27">
        <v>1E-3</v>
      </c>
      <c r="AU22">
        <f>IF($AG22&gt;AT$21,1,0)</f>
        <v>0</v>
      </c>
      <c r="AV22">
        <f>IF($AG22&lt;AT$22,1,0)</f>
        <v>0</v>
      </c>
      <c r="AW22">
        <f>AY21</f>
        <v>0</v>
      </c>
      <c r="AX22">
        <f>IF(F23+H23&gt;0,0,1)</f>
        <v>1</v>
      </c>
      <c r="AY22">
        <f>IF(AU21,1,IF(AV21,0,AW21))*AX21</f>
        <v>0</v>
      </c>
      <c r="AZ22" s="29">
        <f>-AY22*D22</f>
        <v>0</v>
      </c>
      <c r="BA22" s="29">
        <f>AY22*$E22</f>
        <v>0</v>
      </c>
      <c r="BB22" s="29">
        <f>AZ22+BA22</f>
        <v>0</v>
      </c>
      <c r="BC22" s="30">
        <f>BC21+BB22</f>
        <v>0</v>
      </c>
      <c r="BE22" s="30">
        <f>AQ22+BB22</f>
        <v>0</v>
      </c>
      <c r="BF22" s="30">
        <f>BF21+BE22</f>
        <v>0</v>
      </c>
      <c r="BH22" s="30"/>
    </row>
    <row r="23" spans="1:122" x14ac:dyDescent="0.25">
      <c r="A23" s="1">
        <v>46056</v>
      </c>
      <c r="B23" s="34">
        <v>493.74</v>
      </c>
      <c r="C23" s="34">
        <v>740149.88</v>
      </c>
      <c r="D23" s="16">
        <v>1.3149634446262401E-2</v>
      </c>
      <c r="E23" s="16">
        <v>1.4596153696608801E-2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493.74</v>
      </c>
      <c r="M23" s="34">
        <v>740149.88</v>
      </c>
      <c r="N23" s="35">
        <v>1499.0680925183201</v>
      </c>
      <c r="O23" s="35">
        <v>1499.9485700668399</v>
      </c>
      <c r="P23" s="35">
        <v>1500.0714420773199</v>
      </c>
      <c r="Q23" s="35">
        <v>1500.36960902739</v>
      </c>
      <c r="R23" s="34">
        <v>740584.60698480497</v>
      </c>
      <c r="S23" s="34">
        <v>740631.78555876005</v>
      </c>
      <c r="T23" s="34">
        <v>740838.77143421699</v>
      </c>
      <c r="U23" s="16">
        <v>5.8717751374924999E-4</v>
      </c>
      <c r="V23" s="16">
        <v>6.50879987214888E-4</v>
      </c>
      <c r="W23" s="16">
        <v>9.3031298144680998E-4</v>
      </c>
      <c r="X23" s="35">
        <v>1499.0680925183201</v>
      </c>
      <c r="Y23" s="35">
        <v>1499.9485700668399</v>
      </c>
      <c r="Z23" s="35">
        <v>1500.0714420773199</v>
      </c>
      <c r="AA23" s="35">
        <v>1500.36960902739</v>
      </c>
      <c r="AB23" s="34">
        <v>740584.60698480497</v>
      </c>
      <c r="AC23" s="34">
        <v>740631.78555876005</v>
      </c>
      <c r="AD23" s="34">
        <v>740838.77143421699</v>
      </c>
      <c r="AE23" s="16">
        <v>5.8717751374924999E-4</v>
      </c>
      <c r="AF23" s="16">
        <v>6.50879987214888E-4</v>
      </c>
      <c r="AG23" s="16">
        <v>9.3031298144680998E-4</v>
      </c>
      <c r="AI23" s="12"/>
      <c r="AJ23">
        <f>IF($AG23&lt;AI$21,1,0)</f>
        <v>0</v>
      </c>
      <c r="AK23">
        <f>IF($AG23&gt;AI$22,1,0)</f>
        <v>1</v>
      </c>
      <c r="AL23">
        <f t="shared" ref="AL23:AL86" si="2">AN23</f>
        <v>0</v>
      </c>
      <c r="AM23">
        <f>IF(F24+H24&gt;0,0,1)</f>
        <v>1</v>
      </c>
      <c r="AN23">
        <f t="shared" ref="AN23:AN86" si="3">IF(AJ22,1,IF(AK22,0,AL22))*AM22</f>
        <v>0</v>
      </c>
      <c r="AO23" s="29">
        <f>AN23*D23</f>
        <v>0</v>
      </c>
      <c r="AP23" s="29">
        <f>-AN23*$E23</f>
        <v>0</v>
      </c>
      <c r="AQ23" s="29">
        <f t="shared" ref="AQ23:AQ86" si="4">AO23+AP23</f>
        <v>0</v>
      </c>
      <c r="AR23" s="30">
        <f t="shared" ref="AR23:AR86" si="5">AR22+AQ23</f>
        <v>0</v>
      </c>
      <c r="AT23" s="12"/>
      <c r="AU23">
        <f>IF($AG23&gt;AT$21,1,0)</f>
        <v>0</v>
      </c>
      <c r="AV23">
        <f>IF($AG23&lt;AT$22,1,0)</f>
        <v>1</v>
      </c>
      <c r="AW23">
        <f t="shared" ref="AW23:AW86" si="6">AY23</f>
        <v>0</v>
      </c>
      <c r="AX23">
        <f>IF(F24+H24&gt;0,0,1)</f>
        <v>1</v>
      </c>
      <c r="AY23">
        <f t="shared" ref="AY23:AY86" si="7">IF(AU22,1,IF(AV22,0,AW22))*AX22</f>
        <v>0</v>
      </c>
      <c r="AZ23" s="29">
        <f>-AY23*D23</f>
        <v>0</v>
      </c>
      <c r="BA23" s="29">
        <f>AY23*$E23</f>
        <v>0</v>
      </c>
      <c r="BB23" s="29">
        <f t="shared" ref="BB23:BB86" si="8">AZ23+BA23</f>
        <v>0</v>
      </c>
      <c r="BC23" s="30">
        <f t="shared" ref="BC23:BC86" si="9">BC22+BB23</f>
        <v>0</v>
      </c>
      <c r="BE23" s="30">
        <f t="shared" ref="BE23:BE86" si="10">AQ23+BB23</f>
        <v>0</v>
      </c>
      <c r="BF23" s="30">
        <f t="shared" ref="BF23:BF86" si="11">BF22+BE23</f>
        <v>0</v>
      </c>
      <c r="BH23" s="30"/>
    </row>
    <row r="24" spans="1:122" x14ac:dyDescent="0.25">
      <c r="A24" s="1">
        <v>46057</v>
      </c>
      <c r="B24" s="34">
        <v>503.83</v>
      </c>
      <c r="C24" s="34">
        <v>757890</v>
      </c>
      <c r="D24" s="16">
        <v>2.02298467394149E-2</v>
      </c>
      <c r="E24" s="16">
        <v>2.36855501479303E-2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503.83</v>
      </c>
      <c r="M24" s="34">
        <v>757890</v>
      </c>
      <c r="N24" s="35">
        <v>1504.2573884048099</v>
      </c>
      <c r="O24" s="35">
        <v>1499.9485700668399</v>
      </c>
      <c r="P24" s="35">
        <v>1500.8414133961501</v>
      </c>
      <c r="Q24" s="35">
        <v>1500.6400879056</v>
      </c>
      <c r="R24" s="34">
        <v>755719.088056779</v>
      </c>
      <c r="S24" s="34">
        <v>755780.99466181803</v>
      </c>
      <c r="T24" s="34">
        <v>755931.22011627106</v>
      </c>
      <c r="U24" s="16">
        <v>-2.8685258947662002E-3</v>
      </c>
      <c r="V24" s="16">
        <v>-2.7866117674938298E-3</v>
      </c>
      <c r="W24" s="16">
        <v>-2.5878630195792099E-3</v>
      </c>
      <c r="X24" s="35">
        <v>1504.2573884048099</v>
      </c>
      <c r="Y24" s="35">
        <v>1499.9485700668399</v>
      </c>
      <c r="Z24" s="35">
        <v>1500.8414133961501</v>
      </c>
      <c r="AA24" s="35">
        <v>1500.6400879056</v>
      </c>
      <c r="AB24" s="34">
        <v>755719.088056779</v>
      </c>
      <c r="AC24" s="34">
        <v>755780.99466181803</v>
      </c>
      <c r="AD24" s="34">
        <v>755931.22011627106</v>
      </c>
      <c r="AE24" s="16">
        <v>-2.8685258947662002E-3</v>
      </c>
      <c r="AF24" s="16">
        <v>-2.7866117674938298E-3</v>
      </c>
      <c r="AG24" s="16">
        <v>-2.5878630195792099E-3</v>
      </c>
      <c r="AI24" s="12"/>
      <c r="AJ24">
        <f>IF($AG24&lt;AI$21,1,0)</f>
        <v>0</v>
      </c>
      <c r="AK24">
        <f>IF($AG24&gt;AI$22,1,0)</f>
        <v>0</v>
      </c>
      <c r="AL24">
        <f t="shared" si="2"/>
        <v>0</v>
      </c>
      <c r="AM24">
        <f>IF(F25+H25&gt;0,0,1)</f>
        <v>1</v>
      </c>
      <c r="AN24">
        <f t="shared" si="3"/>
        <v>0</v>
      </c>
      <c r="AO24" s="29">
        <f>AN24*D24</f>
        <v>0</v>
      </c>
      <c r="AP24" s="29">
        <f>-AN24*$E24</f>
        <v>0</v>
      </c>
      <c r="AQ24" s="29">
        <f t="shared" si="4"/>
        <v>0</v>
      </c>
      <c r="AR24" s="30">
        <f t="shared" si="5"/>
        <v>0</v>
      </c>
      <c r="AT24" s="12"/>
      <c r="AU24">
        <f>IF($AG24&gt;AT$21,1,0)</f>
        <v>0</v>
      </c>
      <c r="AV24">
        <f>IF($AG24&lt;AT$22,1,0)</f>
        <v>1</v>
      </c>
      <c r="AW24">
        <f t="shared" si="6"/>
        <v>0</v>
      </c>
      <c r="AX24">
        <f>IF(F25+H25&gt;0,0,1)</f>
        <v>1</v>
      </c>
      <c r="AY24">
        <f t="shared" si="7"/>
        <v>0</v>
      </c>
      <c r="AZ24" s="29">
        <f>-AY24*D24</f>
        <v>0</v>
      </c>
      <c r="BA24" s="29">
        <f>AY24*$E24</f>
        <v>0</v>
      </c>
      <c r="BB24" s="29">
        <f t="shared" si="8"/>
        <v>0</v>
      </c>
      <c r="BC24" s="30">
        <f t="shared" si="9"/>
        <v>0</v>
      </c>
      <c r="BE24" s="30">
        <f t="shared" si="10"/>
        <v>0</v>
      </c>
      <c r="BF24" s="30">
        <f t="shared" si="11"/>
        <v>0</v>
      </c>
      <c r="BH24" s="30"/>
    </row>
    <row r="25" spans="1:122" x14ac:dyDescent="0.25">
      <c r="A25" s="1">
        <v>46058</v>
      </c>
      <c r="B25" s="34">
        <v>503.89</v>
      </c>
      <c r="C25" s="34">
        <v>756943</v>
      </c>
      <c r="D25" s="16">
        <v>1.19080697159775E-4</v>
      </c>
      <c r="E25" s="16">
        <v>-1.25030300154155E-3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503.89</v>
      </c>
      <c r="M25" s="34">
        <v>756943</v>
      </c>
      <c r="N25" s="35">
        <v>1502.1988926154499</v>
      </c>
      <c r="O25" s="35">
        <v>1499.9485700668399</v>
      </c>
      <c r="P25" s="35">
        <v>1501.1717280534699</v>
      </c>
      <c r="Q25" s="35">
        <v>1500.6673912399101</v>
      </c>
      <c r="R25" s="34">
        <v>755809.08497098298</v>
      </c>
      <c r="S25" s="34">
        <v>756258.979796189</v>
      </c>
      <c r="T25" s="34">
        <v>756157.53389475401</v>
      </c>
      <c r="U25" s="16">
        <v>-1.4991421960649099E-3</v>
      </c>
      <c r="V25" s="16">
        <v>-9.0406999136051199E-4</v>
      </c>
      <c r="W25" s="16">
        <v>-1.03822073709549E-3</v>
      </c>
      <c r="X25" s="35">
        <v>1502.1988926154499</v>
      </c>
      <c r="Y25" s="35">
        <v>1499.9485700668399</v>
      </c>
      <c r="Z25" s="35">
        <v>1501.1717280534699</v>
      </c>
      <c r="AA25" s="35">
        <v>1500.6673912399101</v>
      </c>
      <c r="AB25" s="34">
        <v>755809.08497098298</v>
      </c>
      <c r="AC25" s="34">
        <v>756258.979796189</v>
      </c>
      <c r="AD25" s="34">
        <v>756157.53389475401</v>
      </c>
      <c r="AE25" s="16">
        <v>-1.4991421960649099E-3</v>
      </c>
      <c r="AF25" s="16">
        <v>-9.0406999136051199E-4</v>
      </c>
      <c r="AG25" s="16">
        <v>-1.03822073709549E-3</v>
      </c>
      <c r="AI25" s="12"/>
      <c r="AJ25">
        <f>IF($AG25&lt;AI$21,1,0)</f>
        <v>0</v>
      </c>
      <c r="AK25">
        <f>IF($AG25&gt;AI$22,1,0)</f>
        <v>0</v>
      </c>
      <c r="AL25">
        <f t="shared" si="2"/>
        <v>0</v>
      </c>
      <c r="AM25">
        <f>IF(F26+H26&gt;0,0,1)</f>
        <v>1</v>
      </c>
      <c r="AN25">
        <f t="shared" si="3"/>
        <v>0</v>
      </c>
      <c r="AO25" s="29">
        <f>AN25*D25</f>
        <v>0</v>
      </c>
      <c r="AP25" s="29">
        <f>-AN25*$E25</f>
        <v>0</v>
      </c>
      <c r="AQ25" s="29">
        <f t="shared" si="4"/>
        <v>0</v>
      </c>
      <c r="AR25" s="30">
        <f t="shared" si="5"/>
        <v>0</v>
      </c>
      <c r="AT25" s="12"/>
      <c r="AU25">
        <f>IF($AG25&gt;AT$21,1,0)</f>
        <v>0</v>
      </c>
      <c r="AV25">
        <f>IF($AG25&lt;AT$22,1,0)</f>
        <v>1</v>
      </c>
      <c r="AW25">
        <f t="shared" si="6"/>
        <v>0</v>
      </c>
      <c r="AX25">
        <f>IF(F26+H26&gt;0,0,1)</f>
        <v>1</v>
      </c>
      <c r="AY25">
        <f t="shared" si="7"/>
        <v>0</v>
      </c>
      <c r="AZ25" s="29">
        <f>-AY25*D25</f>
        <v>0</v>
      </c>
      <c r="BA25" s="29">
        <f>AY25*$E25</f>
        <v>0</v>
      </c>
      <c r="BB25" s="29">
        <f t="shared" si="8"/>
        <v>0</v>
      </c>
      <c r="BC25" s="30">
        <f t="shared" si="9"/>
        <v>0</v>
      </c>
      <c r="BE25" s="30">
        <f t="shared" si="10"/>
        <v>0</v>
      </c>
      <c r="BF25" s="30">
        <f t="shared" si="11"/>
        <v>0</v>
      </c>
      <c r="BH25" s="30"/>
      <c r="DL25" s="4"/>
      <c r="DM25" s="4"/>
      <c r="DN25" s="4"/>
      <c r="DO25" s="4"/>
      <c r="DP25" s="4"/>
      <c r="DR25" s="4"/>
    </row>
    <row r="26" spans="1:122" x14ac:dyDescent="0.25">
      <c r="A26" s="1">
        <v>46059</v>
      </c>
      <c r="B26" s="34">
        <v>508.09</v>
      </c>
      <c r="C26" s="34">
        <v>762569.63</v>
      </c>
      <c r="D26" s="16">
        <v>8.3006069586333206E-3</v>
      </c>
      <c r="E26" s="16">
        <v>7.4058689685371302E-3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508.09</v>
      </c>
      <c r="M26" s="34">
        <v>762569.63</v>
      </c>
      <c r="N26" s="35">
        <v>1500.85541931547</v>
      </c>
      <c r="O26" s="35">
        <v>1499.9485700668399</v>
      </c>
      <c r="P26" s="35">
        <v>1500.7400789292101</v>
      </c>
      <c r="Q26" s="35">
        <v>1500.6456325220299</v>
      </c>
      <c r="R26" s="34">
        <v>762108.86896526394</v>
      </c>
      <c r="S26" s="34">
        <v>762730.34330669197</v>
      </c>
      <c r="T26" s="34">
        <v>762474.09481508797</v>
      </c>
      <c r="U26" s="16">
        <v>-6.0440420596869805E-4</v>
      </c>
      <c r="V26" s="16">
        <v>2.10730099126955E-4</v>
      </c>
      <c r="W26" s="16">
        <v>-1.2528845367716201E-4</v>
      </c>
      <c r="X26" s="35">
        <v>1500.85541931547</v>
      </c>
      <c r="Y26" s="35">
        <v>1499.9485700668399</v>
      </c>
      <c r="Z26" s="35">
        <v>1500.7400789292101</v>
      </c>
      <c r="AA26" s="35">
        <v>1500.6456325220299</v>
      </c>
      <c r="AB26" s="34">
        <v>762108.86896526394</v>
      </c>
      <c r="AC26" s="34">
        <v>762730.34330669197</v>
      </c>
      <c r="AD26" s="34">
        <v>762474.09481508797</v>
      </c>
      <c r="AE26" s="16">
        <v>-6.0440420596869805E-4</v>
      </c>
      <c r="AF26" s="16">
        <v>2.10730099126955E-4</v>
      </c>
      <c r="AG26" s="16">
        <v>-1.2528845367716201E-4</v>
      </c>
      <c r="AI26" s="12"/>
      <c r="AJ26">
        <f>IF($AG26&lt;AI$21,1,0)</f>
        <v>0</v>
      </c>
      <c r="AK26">
        <f>IF($AG26&gt;AI$22,1,0)</f>
        <v>1</v>
      </c>
      <c r="AL26">
        <f t="shared" si="2"/>
        <v>0</v>
      </c>
      <c r="AM26">
        <f>IF(F27+H27&gt;0,0,1)</f>
        <v>1</v>
      </c>
      <c r="AN26">
        <f t="shared" si="3"/>
        <v>0</v>
      </c>
      <c r="AO26" s="29">
        <f>AN26*D26</f>
        <v>0</v>
      </c>
      <c r="AP26" s="29">
        <f>-AN26*$E26</f>
        <v>0</v>
      </c>
      <c r="AQ26" s="29">
        <f t="shared" si="4"/>
        <v>0</v>
      </c>
      <c r="AR26" s="30">
        <f t="shared" si="5"/>
        <v>0</v>
      </c>
      <c r="AT26" s="12"/>
      <c r="AU26">
        <f>IF($AG26&gt;AT$21,1,0)</f>
        <v>0</v>
      </c>
      <c r="AV26">
        <f>IF($AG26&lt;AT$22,1,0)</f>
        <v>1</v>
      </c>
      <c r="AW26">
        <f t="shared" si="6"/>
        <v>0</v>
      </c>
      <c r="AX26">
        <f>IF(F27+H27&gt;0,0,1)</f>
        <v>1</v>
      </c>
      <c r="AY26">
        <f t="shared" si="7"/>
        <v>0</v>
      </c>
      <c r="AZ26" s="29">
        <f>-AY26*D26</f>
        <v>0</v>
      </c>
      <c r="BA26" s="29">
        <f>AY26*$E26</f>
        <v>0</v>
      </c>
      <c r="BB26" s="29">
        <f t="shared" si="8"/>
        <v>0</v>
      </c>
      <c r="BC26" s="30">
        <f t="shared" si="9"/>
        <v>0</v>
      </c>
      <c r="BE26" s="30">
        <f t="shared" si="10"/>
        <v>0</v>
      </c>
      <c r="BF26" s="30">
        <f t="shared" si="11"/>
        <v>0</v>
      </c>
      <c r="BH26" s="30"/>
      <c r="DL26" s="4"/>
      <c r="DM26" s="10"/>
      <c r="DN26" s="10"/>
      <c r="DO26" s="10"/>
      <c r="DP26" s="10"/>
      <c r="DR26" s="10"/>
    </row>
    <row r="27" spans="1:122" x14ac:dyDescent="0.25">
      <c r="A27" s="1">
        <v>46062</v>
      </c>
      <c r="B27" s="34">
        <v>498.08</v>
      </c>
      <c r="C27" s="34">
        <v>747806</v>
      </c>
      <c r="D27" s="16">
        <v>-1.9897890547586498E-2</v>
      </c>
      <c r="E27" s="16">
        <v>-1.9550236298586099E-2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498.08</v>
      </c>
      <c r="M27" s="34">
        <v>747806</v>
      </c>
      <c r="N27" s="35">
        <v>1501.3772887889399</v>
      </c>
      <c r="O27" s="35">
        <v>1499.9485700668399</v>
      </c>
      <c r="P27" s="35">
        <v>1500.6264995573399</v>
      </c>
      <c r="Q27" s="35">
        <v>1500.77360335298</v>
      </c>
      <c r="R27" s="34">
        <v>747094.38377889502</v>
      </c>
      <c r="S27" s="34">
        <v>747488.61851306504</v>
      </c>
      <c r="T27" s="34">
        <v>747441.57664657501</v>
      </c>
      <c r="U27" s="16">
        <v>-9.52058454969061E-4</v>
      </c>
      <c r="V27" s="16">
        <v>-4.24506967083542E-4</v>
      </c>
      <c r="W27" s="16">
        <v>-4.8744216855050899E-4</v>
      </c>
      <c r="X27" s="35">
        <v>1501.3772887889399</v>
      </c>
      <c r="Y27" s="35">
        <v>1499.9485700668399</v>
      </c>
      <c r="Z27" s="35">
        <v>1500.6264995573399</v>
      </c>
      <c r="AA27" s="35">
        <v>1500.77360335298</v>
      </c>
      <c r="AB27" s="34">
        <v>747094.38377889502</v>
      </c>
      <c r="AC27" s="34">
        <v>747488.61851306504</v>
      </c>
      <c r="AD27" s="34">
        <v>747441.57664657501</v>
      </c>
      <c r="AE27" s="16">
        <v>-9.52058454969061E-4</v>
      </c>
      <c r="AF27" s="16">
        <v>-4.24506967083542E-4</v>
      </c>
      <c r="AG27" s="16">
        <v>-4.8744216855050899E-4</v>
      </c>
      <c r="AI27" s="12"/>
      <c r="AJ27">
        <f>IF($AG27&lt;AI$21,1,0)</f>
        <v>0</v>
      </c>
      <c r="AK27">
        <f>IF($AG27&gt;AI$22,1,0)</f>
        <v>1</v>
      </c>
      <c r="AL27">
        <f t="shared" si="2"/>
        <v>0</v>
      </c>
      <c r="AM27">
        <f>IF(F28+H28&gt;0,0,1)</f>
        <v>1</v>
      </c>
      <c r="AN27">
        <f t="shared" si="3"/>
        <v>0</v>
      </c>
      <c r="AO27" s="29">
        <f>AN27*D27</f>
        <v>0</v>
      </c>
      <c r="AP27" s="29">
        <f>-AN27*$E27</f>
        <v>0</v>
      </c>
      <c r="AQ27" s="29">
        <f t="shared" si="4"/>
        <v>0</v>
      </c>
      <c r="AR27" s="30">
        <f t="shared" si="5"/>
        <v>0</v>
      </c>
      <c r="AT27" s="12"/>
      <c r="AU27">
        <f>IF($AG27&gt;AT$21,1,0)</f>
        <v>0</v>
      </c>
      <c r="AV27">
        <f>IF($AG27&lt;AT$22,1,0)</f>
        <v>1</v>
      </c>
      <c r="AW27">
        <f t="shared" si="6"/>
        <v>0</v>
      </c>
      <c r="AX27">
        <f>IF(F28+H28&gt;0,0,1)</f>
        <v>1</v>
      </c>
      <c r="AY27">
        <f t="shared" si="7"/>
        <v>0</v>
      </c>
      <c r="AZ27" s="29">
        <f>-AY27*D27</f>
        <v>0</v>
      </c>
      <c r="BA27" s="29">
        <f>AY27*$E27</f>
        <v>0</v>
      </c>
      <c r="BB27" s="29">
        <f t="shared" si="8"/>
        <v>0</v>
      </c>
      <c r="BC27" s="30">
        <f t="shared" si="9"/>
        <v>0</v>
      </c>
      <c r="BE27" s="30">
        <f t="shared" si="10"/>
        <v>0</v>
      </c>
      <c r="BF27" s="30">
        <f t="shared" si="11"/>
        <v>0</v>
      </c>
      <c r="BH27" s="30"/>
      <c r="DL27" s="4"/>
      <c r="DM27" s="10"/>
      <c r="DN27" s="10"/>
      <c r="DO27" s="10"/>
      <c r="DP27" s="10"/>
      <c r="DR27" s="10"/>
    </row>
    <row r="28" spans="1:122" x14ac:dyDescent="0.25">
      <c r="A28" s="1">
        <v>46063</v>
      </c>
      <c r="B28" s="34">
        <v>500.3</v>
      </c>
      <c r="C28" s="34">
        <v>750020</v>
      </c>
      <c r="D28" s="16">
        <v>4.4472118008612701E-3</v>
      </c>
      <c r="E28" s="16">
        <v>2.9562867949439599E-3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500.3</v>
      </c>
      <c r="M28" s="34">
        <v>750020</v>
      </c>
      <c r="N28" s="35">
        <v>1499.1405156905801</v>
      </c>
      <c r="O28" s="35">
        <v>1499.9485700668399</v>
      </c>
      <c r="P28" s="35">
        <v>1500.33093181193</v>
      </c>
      <c r="Q28" s="35">
        <v>1500.7451678103801</v>
      </c>
      <c r="R28" s="34">
        <v>750424.26960444299</v>
      </c>
      <c r="S28" s="34">
        <v>750763.43772853899</v>
      </c>
      <c r="T28" s="34">
        <v>750837.03375749895</v>
      </c>
      <c r="U28" s="16">
        <v>5.3886655094830601E-4</v>
      </c>
      <c r="V28" s="16">
        <v>9.9073293409273006E-4</v>
      </c>
      <c r="W28" s="16">
        <v>1.0887563836280199E-3</v>
      </c>
      <c r="X28" s="35">
        <v>1499.1405156905801</v>
      </c>
      <c r="Y28" s="35">
        <v>1499.9485700668399</v>
      </c>
      <c r="Z28" s="35">
        <v>1500.33093181193</v>
      </c>
      <c r="AA28" s="35">
        <v>1500.7451678103801</v>
      </c>
      <c r="AB28" s="34">
        <v>750424.26960444299</v>
      </c>
      <c r="AC28" s="34">
        <v>750763.43772853899</v>
      </c>
      <c r="AD28" s="34">
        <v>750837.03375749895</v>
      </c>
      <c r="AE28" s="16">
        <v>5.3886655094830601E-4</v>
      </c>
      <c r="AF28" s="16">
        <v>9.9073293409273006E-4</v>
      </c>
      <c r="AG28" s="16">
        <v>1.0887563836280199E-3</v>
      </c>
      <c r="AI28" s="12"/>
      <c r="AJ28">
        <f>IF($AG28&lt;AI$21,1,0)</f>
        <v>0</v>
      </c>
      <c r="AK28">
        <f>IF($AG28&gt;AI$22,1,0)</f>
        <v>1</v>
      </c>
      <c r="AL28">
        <f t="shared" si="2"/>
        <v>0</v>
      </c>
      <c r="AM28">
        <f>IF(F29+H29&gt;0,0,1)</f>
        <v>1</v>
      </c>
      <c r="AN28">
        <f t="shared" si="3"/>
        <v>0</v>
      </c>
      <c r="AO28" s="29">
        <f>AN28*D28</f>
        <v>0</v>
      </c>
      <c r="AP28" s="29">
        <f>-AN28*$E28</f>
        <v>0</v>
      </c>
      <c r="AQ28" s="29">
        <f t="shared" si="4"/>
        <v>0</v>
      </c>
      <c r="AR28" s="30">
        <f t="shared" si="5"/>
        <v>0</v>
      </c>
      <c r="AT28" s="12"/>
      <c r="AU28">
        <f>IF($AG28&gt;AT$21,1,0)</f>
        <v>0</v>
      </c>
      <c r="AV28">
        <f>IF($AG28&lt;AT$22,1,0)</f>
        <v>0</v>
      </c>
      <c r="AW28">
        <f t="shared" si="6"/>
        <v>0</v>
      </c>
      <c r="AX28">
        <f>IF(F29+H29&gt;0,0,1)</f>
        <v>1</v>
      </c>
      <c r="AY28">
        <f t="shared" si="7"/>
        <v>0</v>
      </c>
      <c r="AZ28" s="29">
        <f>-AY28*D28</f>
        <v>0</v>
      </c>
      <c r="BA28" s="29">
        <f>AY28*$E28</f>
        <v>0</v>
      </c>
      <c r="BB28" s="29">
        <f t="shared" si="8"/>
        <v>0</v>
      </c>
      <c r="BC28" s="30">
        <f t="shared" si="9"/>
        <v>0</v>
      </c>
      <c r="BE28" s="30">
        <f t="shared" si="10"/>
        <v>0</v>
      </c>
      <c r="BF28" s="30">
        <f t="shared" si="11"/>
        <v>0</v>
      </c>
      <c r="BH28" s="30"/>
      <c r="DL28" s="4"/>
      <c r="DM28" s="10"/>
      <c r="DN28" s="10"/>
      <c r="DO28" s="10"/>
      <c r="DP28" s="11"/>
      <c r="DR28" s="10"/>
    </row>
    <row r="29" spans="1:122" x14ac:dyDescent="0.25">
      <c r="A29" s="1">
        <v>46064</v>
      </c>
      <c r="B29" s="34">
        <v>500.02</v>
      </c>
      <c r="C29" s="34">
        <v>748456.19</v>
      </c>
      <c r="D29" s="16">
        <v>-5.5982087194629603E-4</v>
      </c>
      <c r="E29" s="16">
        <v>-2.0872010888825202E-3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500.02</v>
      </c>
      <c r="M29" s="34">
        <v>748456.19</v>
      </c>
      <c r="N29" s="35">
        <v>1496.85250589976</v>
      </c>
      <c r="O29" s="35">
        <v>1499.9485700668399</v>
      </c>
      <c r="P29" s="35">
        <v>1500.1714127130001</v>
      </c>
      <c r="Q29" s="35">
        <v>1500.6443313494501</v>
      </c>
      <c r="R29" s="34">
        <v>750004.284004824</v>
      </c>
      <c r="S29" s="34">
        <v>750195.47252460103</v>
      </c>
      <c r="T29" s="34">
        <v>750402.598808549</v>
      </c>
      <c r="U29" s="16">
        <v>2.0662467678844898E-3</v>
      </c>
      <c r="V29" s="16">
        <v>2.32113085246086E-3</v>
      </c>
      <c r="W29" s="16">
        <v>2.59718916443606E-3</v>
      </c>
      <c r="X29" s="35">
        <v>1496.85250589976</v>
      </c>
      <c r="Y29" s="35">
        <v>1499.9485700668399</v>
      </c>
      <c r="Z29" s="35">
        <v>1500.1714127130001</v>
      </c>
      <c r="AA29" s="35">
        <v>1500.6443313494501</v>
      </c>
      <c r="AB29" s="34">
        <v>750004.284004824</v>
      </c>
      <c r="AC29" s="34">
        <v>750195.47252460103</v>
      </c>
      <c r="AD29" s="34">
        <v>750402.598808549</v>
      </c>
      <c r="AE29" s="16">
        <v>2.0662467678844898E-3</v>
      </c>
      <c r="AF29" s="16">
        <v>2.32113085246086E-3</v>
      </c>
      <c r="AG29" s="16">
        <v>2.59718916443606E-3</v>
      </c>
      <c r="AI29" s="12"/>
      <c r="AJ29">
        <f>IF($AG29&lt;AI$21,1,0)</f>
        <v>0</v>
      </c>
      <c r="AK29">
        <f>IF($AG29&gt;AI$22,1,0)</f>
        <v>1</v>
      </c>
      <c r="AL29">
        <f t="shared" si="2"/>
        <v>0</v>
      </c>
      <c r="AM29">
        <f>IF(F30+H30&gt;0,0,1)</f>
        <v>1</v>
      </c>
      <c r="AN29">
        <f t="shared" si="3"/>
        <v>0</v>
      </c>
      <c r="AO29" s="29">
        <f>AN29*D29</f>
        <v>0</v>
      </c>
      <c r="AP29" s="29">
        <f>-AN29*$E29</f>
        <v>0</v>
      </c>
      <c r="AQ29" s="29">
        <f t="shared" si="4"/>
        <v>0</v>
      </c>
      <c r="AR29" s="30">
        <f t="shared" si="5"/>
        <v>0</v>
      </c>
      <c r="AT29" s="12"/>
      <c r="AU29">
        <f>IF($AG29&gt;AT$21,1,0)</f>
        <v>0</v>
      </c>
      <c r="AV29">
        <f>IF($AG29&lt;AT$22,1,0)</f>
        <v>0</v>
      </c>
      <c r="AW29">
        <f t="shared" si="6"/>
        <v>0</v>
      </c>
      <c r="AX29">
        <f>IF(F30+H30&gt;0,0,1)</f>
        <v>1</v>
      </c>
      <c r="AY29">
        <f t="shared" si="7"/>
        <v>0</v>
      </c>
      <c r="AZ29" s="29">
        <f>-AY29*D29</f>
        <v>0</v>
      </c>
      <c r="BA29" s="29">
        <f>AY29*$E29</f>
        <v>0</v>
      </c>
      <c r="BB29" s="29">
        <f t="shared" si="8"/>
        <v>0</v>
      </c>
      <c r="BC29" s="30">
        <f t="shared" si="9"/>
        <v>0</v>
      </c>
      <c r="BE29" s="30">
        <f t="shared" si="10"/>
        <v>0</v>
      </c>
      <c r="BF29" s="30">
        <f t="shared" si="11"/>
        <v>0</v>
      </c>
      <c r="BH29" s="30"/>
      <c r="DL29" s="4"/>
      <c r="DM29" s="10"/>
      <c r="DN29" s="10"/>
      <c r="DO29" s="10"/>
      <c r="DP29" s="10"/>
      <c r="DR29" s="10"/>
    </row>
    <row r="30" spans="1:122" x14ac:dyDescent="0.25">
      <c r="A30" s="1">
        <v>46065</v>
      </c>
      <c r="B30" s="34">
        <v>500.01</v>
      </c>
      <c r="C30" s="34">
        <v>749540</v>
      </c>
      <c r="D30" s="16">
        <v>-1.9999400018595501E-5</v>
      </c>
      <c r="E30" s="16">
        <v>1.44701327860004E-3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500.01</v>
      </c>
      <c r="M30" s="34">
        <v>749540</v>
      </c>
      <c r="N30" s="35">
        <v>1499.0500189996201</v>
      </c>
      <c r="O30" s="35">
        <v>1499.9485700668399</v>
      </c>
      <c r="P30" s="35">
        <v>1500.32495170476</v>
      </c>
      <c r="Q30" s="35">
        <v>1500.22040626273</v>
      </c>
      <c r="R30" s="34">
        <v>749989.28451912396</v>
      </c>
      <c r="S30" s="34">
        <v>750100.708070628</v>
      </c>
      <c r="T30" s="34">
        <v>750337.17211804201</v>
      </c>
      <c r="U30" s="16">
        <v>5.9923408926590004E-4</v>
      </c>
      <c r="V30" s="16">
        <v>7.4778991226248604E-4</v>
      </c>
      <c r="W30" s="16">
        <v>1.06298330013207E-3</v>
      </c>
      <c r="X30" s="35">
        <v>1499.0500189996201</v>
      </c>
      <c r="Y30" s="35">
        <v>1499.9485700668399</v>
      </c>
      <c r="Z30" s="35">
        <v>1500.32495170476</v>
      </c>
      <c r="AA30" s="35">
        <v>1500.22040626273</v>
      </c>
      <c r="AB30" s="34">
        <v>749989.28451912396</v>
      </c>
      <c r="AC30" s="34">
        <v>750100.708070628</v>
      </c>
      <c r="AD30" s="34">
        <v>750337.17211804201</v>
      </c>
      <c r="AE30" s="16">
        <v>5.9923408926590004E-4</v>
      </c>
      <c r="AF30" s="16">
        <v>7.4778991226248604E-4</v>
      </c>
      <c r="AG30" s="16">
        <v>1.06298330013207E-3</v>
      </c>
      <c r="AI30" s="12"/>
      <c r="AJ30">
        <f>IF($AG30&lt;AI$21,1,0)</f>
        <v>0</v>
      </c>
      <c r="AK30">
        <f>IF($AG30&gt;AI$22,1,0)</f>
        <v>1</v>
      </c>
      <c r="AL30">
        <f t="shared" si="2"/>
        <v>0</v>
      </c>
      <c r="AM30">
        <f>IF(F31+H31&gt;0,0,1)</f>
        <v>1</v>
      </c>
      <c r="AN30">
        <f t="shared" si="3"/>
        <v>0</v>
      </c>
      <c r="AO30" s="29">
        <f>AN30*D30</f>
        <v>0</v>
      </c>
      <c r="AP30" s="29">
        <f>-AN30*$E30</f>
        <v>0</v>
      </c>
      <c r="AQ30" s="29">
        <f t="shared" si="4"/>
        <v>0</v>
      </c>
      <c r="AR30" s="30">
        <f t="shared" si="5"/>
        <v>0</v>
      </c>
      <c r="AT30" s="12"/>
      <c r="AU30">
        <f>IF($AG30&gt;AT$21,1,0)</f>
        <v>0</v>
      </c>
      <c r="AV30">
        <f>IF($AG30&lt;AT$22,1,0)</f>
        <v>0</v>
      </c>
      <c r="AW30">
        <f t="shared" si="6"/>
        <v>0</v>
      </c>
      <c r="AX30">
        <f>IF(F31+H31&gt;0,0,1)</f>
        <v>1</v>
      </c>
      <c r="AY30">
        <f t="shared" si="7"/>
        <v>0</v>
      </c>
      <c r="AZ30" s="29">
        <f>-AY30*D30</f>
        <v>0</v>
      </c>
      <c r="BA30" s="29">
        <f>AY30*$E30</f>
        <v>0</v>
      </c>
      <c r="BB30" s="29">
        <f t="shared" si="8"/>
        <v>0</v>
      </c>
      <c r="BC30" s="30">
        <f t="shared" si="9"/>
        <v>0</v>
      </c>
      <c r="BE30" s="30">
        <f t="shared" si="10"/>
        <v>0</v>
      </c>
      <c r="BF30" s="30">
        <f t="shared" si="11"/>
        <v>0</v>
      </c>
      <c r="BH30" s="30"/>
      <c r="DL30" s="4"/>
      <c r="DM30" s="10"/>
      <c r="DN30" s="10"/>
      <c r="DO30" s="10"/>
      <c r="DP30" s="10"/>
      <c r="DR30" s="10"/>
    </row>
    <row r="31" spans="1:122" x14ac:dyDescent="0.25">
      <c r="A31" s="1">
        <v>46066</v>
      </c>
      <c r="B31" s="34">
        <v>497.55</v>
      </c>
      <c r="C31" s="34">
        <v>751425</v>
      </c>
      <c r="D31" s="16">
        <v>-4.9320441610232E-3</v>
      </c>
      <c r="E31" s="16">
        <v>2.5117187822454199E-3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497.55</v>
      </c>
      <c r="M31" s="34">
        <v>751425</v>
      </c>
      <c r="N31" s="35">
        <v>1510.2502261079201</v>
      </c>
      <c r="O31" s="35">
        <v>1499.9485700668399</v>
      </c>
      <c r="P31" s="35">
        <v>1500.9951577588299</v>
      </c>
      <c r="Q31" s="35">
        <v>1500.7571877967</v>
      </c>
      <c r="R31" s="34">
        <v>746299.41103675903</v>
      </c>
      <c r="S31" s="34">
        <v>746486.67972070596</v>
      </c>
      <c r="T31" s="34">
        <v>746434.66313602403</v>
      </c>
      <c r="U31" s="16">
        <v>-6.8445288540026896E-3</v>
      </c>
      <c r="V31" s="16">
        <v>-6.5936306361157396E-3</v>
      </c>
      <c r="W31" s="16">
        <v>-6.6633149298681504E-3</v>
      </c>
      <c r="X31" s="35">
        <v>1510.2502261079201</v>
      </c>
      <c r="Y31" s="35">
        <v>1499.9485700668399</v>
      </c>
      <c r="Z31" s="35">
        <v>1500.9951577588299</v>
      </c>
      <c r="AA31" s="35">
        <v>1500.7571877967</v>
      </c>
      <c r="AB31" s="34">
        <v>746299.41103675903</v>
      </c>
      <c r="AC31" s="34">
        <v>746486.67972070596</v>
      </c>
      <c r="AD31" s="34">
        <v>746434.66313602403</v>
      </c>
      <c r="AE31" s="16">
        <v>-6.8445288540026896E-3</v>
      </c>
      <c r="AF31" s="16">
        <v>-6.5936306361157396E-3</v>
      </c>
      <c r="AG31" s="16">
        <v>-6.6633149298681504E-3</v>
      </c>
      <c r="AI31" s="12"/>
      <c r="AJ31">
        <f>IF($AG31&lt;AI$21,1,0)</f>
        <v>1</v>
      </c>
      <c r="AK31">
        <f>IF($AG31&gt;AI$22,1,0)</f>
        <v>0</v>
      </c>
      <c r="AL31">
        <f t="shared" si="2"/>
        <v>0</v>
      </c>
      <c r="AM31">
        <f>IF(F32+H32&gt;0,0,1)</f>
        <v>1</v>
      </c>
      <c r="AN31">
        <f t="shared" si="3"/>
        <v>0</v>
      </c>
      <c r="AO31" s="29">
        <f>AN31*D31</f>
        <v>0</v>
      </c>
      <c r="AP31" s="29">
        <f>-AN31*$E31</f>
        <v>0</v>
      </c>
      <c r="AQ31" s="29">
        <f t="shared" si="4"/>
        <v>0</v>
      </c>
      <c r="AR31" s="30">
        <f t="shared" si="5"/>
        <v>0</v>
      </c>
      <c r="AT31" s="12"/>
      <c r="AU31">
        <f>IF($AG31&gt;AT$21,1,0)</f>
        <v>0</v>
      </c>
      <c r="AV31">
        <f>IF($AG31&lt;AT$22,1,0)</f>
        <v>1</v>
      </c>
      <c r="AW31">
        <f t="shared" si="6"/>
        <v>0</v>
      </c>
      <c r="AX31">
        <f>IF(F32+H32&gt;0,0,1)</f>
        <v>1</v>
      </c>
      <c r="AY31">
        <f t="shared" si="7"/>
        <v>0</v>
      </c>
      <c r="AZ31" s="29">
        <f>-AY31*D31</f>
        <v>0</v>
      </c>
      <c r="BA31" s="29">
        <f>AY31*$E31</f>
        <v>0</v>
      </c>
      <c r="BB31" s="29">
        <f t="shared" si="8"/>
        <v>0</v>
      </c>
      <c r="BC31" s="30">
        <f t="shared" si="9"/>
        <v>0</v>
      </c>
      <c r="BE31" s="30">
        <f t="shared" si="10"/>
        <v>0</v>
      </c>
      <c r="BF31" s="30">
        <f t="shared" si="11"/>
        <v>0</v>
      </c>
      <c r="BH31" s="30"/>
      <c r="DL31" s="4"/>
      <c r="DM31" s="10"/>
      <c r="DN31" s="10"/>
      <c r="DO31" s="10"/>
      <c r="DP31" s="10"/>
      <c r="DR31" s="10"/>
    </row>
    <row r="32" spans="1:122" x14ac:dyDescent="0.25">
      <c r="A32" s="1">
        <v>46070</v>
      </c>
      <c r="B32" s="34">
        <v>503.41</v>
      </c>
      <c r="C32" s="34">
        <v>754910</v>
      </c>
      <c r="D32" s="16">
        <v>1.17088933612932E-2</v>
      </c>
      <c r="E32" s="16">
        <v>4.6271330320587804E-3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503.41</v>
      </c>
      <c r="M32" s="34">
        <v>754910</v>
      </c>
      <c r="N32" s="35">
        <v>1499.5927772590901</v>
      </c>
      <c r="O32" s="35">
        <v>1499.9485700668399</v>
      </c>
      <c r="P32" s="35">
        <v>1501.26431256</v>
      </c>
      <c r="Q32" s="35">
        <v>1500.6542180521401</v>
      </c>
      <c r="R32" s="34">
        <v>755089.10965735104</v>
      </c>
      <c r="S32" s="34">
        <v>755615.97236737702</v>
      </c>
      <c r="T32" s="34">
        <v>755496.17590874003</v>
      </c>
      <c r="U32" s="16">
        <v>2.3723147523188601E-4</v>
      </c>
      <c r="V32" s="16">
        <v>9.3473721299028604E-4</v>
      </c>
      <c r="W32" s="16">
        <v>7.7618318505159E-4</v>
      </c>
      <c r="X32" s="35">
        <v>1499.5927772590901</v>
      </c>
      <c r="Y32" s="35">
        <v>1499.9485700668399</v>
      </c>
      <c r="Z32" s="35">
        <v>1501.26431256</v>
      </c>
      <c r="AA32" s="35">
        <v>1500.6542180521401</v>
      </c>
      <c r="AB32" s="34">
        <v>755089.10965735104</v>
      </c>
      <c r="AC32" s="34">
        <v>755615.97236737702</v>
      </c>
      <c r="AD32" s="34">
        <v>755496.17590874003</v>
      </c>
      <c r="AE32" s="16">
        <v>2.3723147523188601E-4</v>
      </c>
      <c r="AF32" s="16">
        <v>9.3473721299028604E-4</v>
      </c>
      <c r="AG32" s="16">
        <v>7.7618318505159E-4</v>
      </c>
      <c r="AI32" s="12"/>
      <c r="AJ32">
        <f>IF($AG32&lt;AI$21,1,0)</f>
        <v>0</v>
      </c>
      <c r="AK32">
        <f>IF($AG32&gt;AI$22,1,0)</f>
        <v>1</v>
      </c>
      <c r="AL32">
        <f t="shared" si="2"/>
        <v>1</v>
      </c>
      <c r="AM32">
        <f>IF(F33+H33&gt;0,0,1)</f>
        <v>1</v>
      </c>
      <c r="AN32">
        <f t="shared" si="3"/>
        <v>1</v>
      </c>
      <c r="AO32" s="29">
        <f>AN32*D32</f>
        <v>1.17088933612932E-2</v>
      </c>
      <c r="AP32" s="29">
        <f>-AN32*$E32</f>
        <v>-4.6271330320587804E-3</v>
      </c>
      <c r="AQ32" s="29">
        <f t="shared" si="4"/>
        <v>7.0817603292344196E-3</v>
      </c>
      <c r="AR32" s="30">
        <f t="shared" si="5"/>
        <v>7.0817603292344196E-3</v>
      </c>
      <c r="AT32" s="12"/>
      <c r="AU32">
        <f>IF($AG32&gt;AT$21,1,0)</f>
        <v>0</v>
      </c>
      <c r="AV32">
        <f>IF($AG32&lt;AT$22,1,0)</f>
        <v>1</v>
      </c>
      <c r="AW32">
        <f t="shared" si="6"/>
        <v>0</v>
      </c>
      <c r="AX32">
        <f>IF(F33+H33&gt;0,0,1)</f>
        <v>1</v>
      </c>
      <c r="AY32">
        <f t="shared" si="7"/>
        <v>0</v>
      </c>
      <c r="AZ32" s="29">
        <f>-AY32*D32</f>
        <v>0</v>
      </c>
      <c r="BA32" s="29">
        <f>AY32*$E32</f>
        <v>0</v>
      </c>
      <c r="BB32" s="29">
        <f t="shared" si="8"/>
        <v>0</v>
      </c>
      <c r="BC32" s="30">
        <f t="shared" si="9"/>
        <v>0</v>
      </c>
      <c r="BE32" s="30">
        <f t="shared" si="10"/>
        <v>7.0817603292344196E-3</v>
      </c>
      <c r="BF32" s="30">
        <f t="shared" si="11"/>
        <v>7.0817603292344196E-3</v>
      </c>
      <c r="BH32" s="30"/>
      <c r="DL32" s="4"/>
      <c r="DM32" s="10"/>
      <c r="DN32" s="10"/>
      <c r="DO32" s="10"/>
      <c r="DP32" s="10"/>
      <c r="DR32" s="10"/>
    </row>
    <row r="33" spans="1:122" x14ac:dyDescent="0.25">
      <c r="A33" s="1">
        <v>46071</v>
      </c>
      <c r="B33" s="34">
        <v>499.07</v>
      </c>
      <c r="C33" s="34">
        <v>747960</v>
      </c>
      <c r="D33" s="16">
        <v>-8.6585809482214397E-3</v>
      </c>
      <c r="E33" s="16">
        <v>-9.2490362367356801E-3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499.07</v>
      </c>
      <c r="M33" s="34">
        <v>747960</v>
      </c>
      <c r="N33" s="35">
        <v>1498.7075961287901</v>
      </c>
      <c r="O33" s="35">
        <v>1499.9485700668399</v>
      </c>
      <c r="P33" s="35">
        <v>1501.2282629210399</v>
      </c>
      <c r="Q33" s="35">
        <v>1500.64985249918</v>
      </c>
      <c r="R33" s="34">
        <v>748579.33286326099</v>
      </c>
      <c r="S33" s="34">
        <v>749235.98046931997</v>
      </c>
      <c r="T33" s="34">
        <v>748931.50060328504</v>
      </c>
      <c r="U33" s="16">
        <v>8.2768676374612798E-4</v>
      </c>
      <c r="V33" s="16">
        <v>1.7044939939598999E-3</v>
      </c>
      <c r="W33" s="16">
        <v>1.2980242580019599E-3</v>
      </c>
      <c r="X33" s="35">
        <v>1498.7075961287901</v>
      </c>
      <c r="Y33" s="35">
        <v>1499.9485700668399</v>
      </c>
      <c r="Z33" s="35">
        <v>1501.2282629210399</v>
      </c>
      <c r="AA33" s="35">
        <v>1500.64985249918</v>
      </c>
      <c r="AB33" s="34">
        <v>748579.33286326099</v>
      </c>
      <c r="AC33" s="34">
        <v>749235.98046931997</v>
      </c>
      <c r="AD33" s="34">
        <v>748931.50060328504</v>
      </c>
      <c r="AE33" s="16">
        <v>8.2768676374612798E-4</v>
      </c>
      <c r="AF33" s="16">
        <v>1.7044939939598999E-3</v>
      </c>
      <c r="AG33" s="16">
        <v>1.2980242580019599E-3</v>
      </c>
      <c r="AI33" s="12"/>
      <c r="AJ33">
        <f>IF($AG33&lt;AI$21,1,0)</f>
        <v>0</v>
      </c>
      <c r="AK33">
        <f>IF($AG33&gt;AI$22,1,0)</f>
        <v>1</v>
      </c>
      <c r="AL33">
        <f t="shared" si="2"/>
        <v>0</v>
      </c>
      <c r="AM33">
        <f>IF(F34+H34&gt;0,0,1)</f>
        <v>1</v>
      </c>
      <c r="AN33">
        <f t="shared" si="3"/>
        <v>0</v>
      </c>
      <c r="AO33" s="29">
        <f>AN33*D33</f>
        <v>0</v>
      </c>
      <c r="AP33" s="29">
        <f>-AN33*$E33</f>
        <v>0</v>
      </c>
      <c r="AQ33" s="29">
        <f t="shared" si="4"/>
        <v>0</v>
      </c>
      <c r="AR33" s="30">
        <f t="shared" si="5"/>
        <v>7.0817603292344196E-3</v>
      </c>
      <c r="AT33" s="12"/>
      <c r="AU33">
        <f>IF($AG33&gt;AT$21,1,0)</f>
        <v>0</v>
      </c>
      <c r="AV33">
        <f>IF($AG33&lt;AT$22,1,0)</f>
        <v>0</v>
      </c>
      <c r="AW33">
        <f t="shared" si="6"/>
        <v>0</v>
      </c>
      <c r="AX33">
        <f>IF(F34+H34&gt;0,0,1)</f>
        <v>1</v>
      </c>
      <c r="AY33">
        <f t="shared" si="7"/>
        <v>0</v>
      </c>
      <c r="AZ33" s="29">
        <f>-AY33*D33</f>
        <v>0</v>
      </c>
      <c r="BA33" s="29">
        <f>AY33*$E33</f>
        <v>0</v>
      </c>
      <c r="BB33" s="29">
        <f t="shared" si="8"/>
        <v>0</v>
      </c>
      <c r="BC33" s="30">
        <f t="shared" si="9"/>
        <v>0</v>
      </c>
      <c r="BE33" s="30">
        <f t="shared" si="10"/>
        <v>0</v>
      </c>
      <c r="BF33" s="30">
        <f t="shared" si="11"/>
        <v>7.0817603292344196E-3</v>
      </c>
      <c r="BH33" s="30"/>
      <c r="DL33" s="4"/>
      <c r="DM33" s="10"/>
      <c r="DN33" s="10"/>
      <c r="DO33" s="10"/>
      <c r="DP33" s="10"/>
      <c r="DQ33" s="10"/>
      <c r="DR33" s="10"/>
    </row>
    <row r="34" spans="1:122" x14ac:dyDescent="0.25">
      <c r="A34" s="1">
        <v>46072</v>
      </c>
      <c r="B34" s="34">
        <v>496.94</v>
      </c>
      <c r="C34" s="34">
        <v>746100</v>
      </c>
      <c r="D34" s="16">
        <v>-4.2770720114611999E-3</v>
      </c>
      <c r="E34" s="16">
        <v>-2.48986113129088E-3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496.94</v>
      </c>
      <c r="M34" s="34">
        <v>746100</v>
      </c>
      <c r="N34" s="35">
        <v>1501.38849760534</v>
      </c>
      <c r="O34" s="35">
        <v>1499.9485700668399</v>
      </c>
      <c r="P34" s="35">
        <v>1500.9413738410999</v>
      </c>
      <c r="Q34" s="35">
        <v>1500.89139361862</v>
      </c>
      <c r="R34" s="34">
        <v>745384.44240901805</v>
      </c>
      <c r="S34" s="34">
        <v>746020.37297598505</v>
      </c>
      <c r="T34" s="34">
        <v>745732.93770094495</v>
      </c>
      <c r="U34" s="16">
        <v>-9.5952411642420503E-4</v>
      </c>
      <c r="V34" s="16">
        <v>-1.0673002732471101E-4</v>
      </c>
      <c r="W34" s="16">
        <v>-4.9209572625073697E-4</v>
      </c>
      <c r="X34" s="35">
        <v>1501.38849760534</v>
      </c>
      <c r="Y34" s="35">
        <v>1499.9485700668399</v>
      </c>
      <c r="Z34" s="35">
        <v>1500.9413738410999</v>
      </c>
      <c r="AA34" s="35">
        <v>1500.89139361862</v>
      </c>
      <c r="AB34" s="34">
        <v>745384.44240901805</v>
      </c>
      <c r="AC34" s="34">
        <v>746020.37297598505</v>
      </c>
      <c r="AD34" s="34">
        <v>745732.93770094495</v>
      </c>
      <c r="AE34" s="16">
        <v>-9.5952411642420503E-4</v>
      </c>
      <c r="AF34" s="16">
        <v>-1.0673002732471101E-4</v>
      </c>
      <c r="AG34" s="16">
        <v>-4.9209572625073697E-4</v>
      </c>
      <c r="AI34" s="12"/>
      <c r="AJ34">
        <f>IF($AG34&lt;AI$21,1,0)</f>
        <v>0</v>
      </c>
      <c r="AK34">
        <f>IF($AG34&gt;AI$22,1,0)</f>
        <v>1</v>
      </c>
      <c r="AL34">
        <f t="shared" si="2"/>
        <v>0</v>
      </c>
      <c r="AM34">
        <f>IF(F35+H35&gt;0,0,1)</f>
        <v>1</v>
      </c>
      <c r="AN34">
        <f t="shared" si="3"/>
        <v>0</v>
      </c>
      <c r="AO34" s="29">
        <f>AN34*D34</f>
        <v>0</v>
      </c>
      <c r="AP34" s="29">
        <f>-AN34*$E34</f>
        <v>0</v>
      </c>
      <c r="AQ34" s="29">
        <f t="shared" si="4"/>
        <v>0</v>
      </c>
      <c r="AR34" s="30">
        <f t="shared" si="5"/>
        <v>7.0817603292344196E-3</v>
      </c>
      <c r="AT34" s="12"/>
      <c r="AU34">
        <f>IF($AG34&gt;AT$21,1,0)</f>
        <v>0</v>
      </c>
      <c r="AV34">
        <f>IF($AG34&lt;AT$22,1,0)</f>
        <v>1</v>
      </c>
      <c r="AW34">
        <f t="shared" si="6"/>
        <v>0</v>
      </c>
      <c r="AX34">
        <f>IF(F35+H35&gt;0,0,1)</f>
        <v>1</v>
      </c>
      <c r="AY34">
        <f t="shared" si="7"/>
        <v>0</v>
      </c>
      <c r="AZ34" s="29">
        <f>-AY34*D34</f>
        <v>0</v>
      </c>
      <c r="BA34" s="29">
        <f>AY34*$E34</f>
        <v>0</v>
      </c>
      <c r="BB34" s="29">
        <f t="shared" si="8"/>
        <v>0</v>
      </c>
      <c r="BC34" s="30">
        <f t="shared" si="9"/>
        <v>0</v>
      </c>
      <c r="BE34" s="30">
        <f t="shared" si="10"/>
        <v>0</v>
      </c>
      <c r="BF34" s="30">
        <f t="shared" si="11"/>
        <v>7.0817603292344196E-3</v>
      </c>
      <c r="BH34" s="30"/>
    </row>
    <row r="35" spans="1:122" x14ac:dyDescent="0.25">
      <c r="A35" s="1">
        <v>46073</v>
      </c>
      <c r="B35" s="34">
        <v>498.2</v>
      </c>
      <c r="C35" s="34">
        <v>746500</v>
      </c>
      <c r="D35" s="16">
        <v>2.53230836529809E-3</v>
      </c>
      <c r="E35" s="16">
        <v>5.3597750177645197E-4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498.2</v>
      </c>
      <c r="M35" s="34">
        <v>746500</v>
      </c>
      <c r="N35" s="35">
        <v>1498.3942191890801</v>
      </c>
      <c r="O35" s="35">
        <v>1499.9485700668399</v>
      </c>
      <c r="P35" s="35">
        <v>1500.5609064984601</v>
      </c>
      <c r="Q35" s="35">
        <v>1500.86631727597</v>
      </c>
      <c r="R35" s="34">
        <v>747274.37760730297</v>
      </c>
      <c r="S35" s="34">
        <v>747768.99244763597</v>
      </c>
      <c r="T35" s="34">
        <v>747744.09230080096</v>
      </c>
      <c r="U35" s="16">
        <v>1.0368067470973401E-3</v>
      </c>
      <c r="V35" s="16">
        <v>1.6984796701526199E-3</v>
      </c>
      <c r="W35" s="16">
        <v>1.66517986543426E-3</v>
      </c>
      <c r="X35" s="35">
        <v>1498.3942191890801</v>
      </c>
      <c r="Y35" s="35">
        <v>1499.9485700668399</v>
      </c>
      <c r="Z35" s="35">
        <v>1500.5609064984601</v>
      </c>
      <c r="AA35" s="35">
        <v>1500.86631727597</v>
      </c>
      <c r="AB35" s="34">
        <v>747274.37760730297</v>
      </c>
      <c r="AC35" s="34">
        <v>747768.99244763597</v>
      </c>
      <c r="AD35" s="34">
        <v>747744.09230080096</v>
      </c>
      <c r="AE35" s="16">
        <v>1.0368067470973401E-3</v>
      </c>
      <c r="AF35" s="16">
        <v>1.6984796701526199E-3</v>
      </c>
      <c r="AG35" s="16">
        <v>1.66517986543426E-3</v>
      </c>
      <c r="AI35" s="12"/>
      <c r="AJ35">
        <f>IF($AG35&lt;AI$21,1,0)</f>
        <v>0</v>
      </c>
      <c r="AK35">
        <f>IF($AG35&gt;AI$22,1,0)</f>
        <v>1</v>
      </c>
      <c r="AL35">
        <f t="shared" si="2"/>
        <v>0</v>
      </c>
      <c r="AM35">
        <f>IF(F36+H36&gt;0,0,1)</f>
        <v>1</v>
      </c>
      <c r="AN35">
        <f t="shared" si="3"/>
        <v>0</v>
      </c>
      <c r="AO35" s="29">
        <f>AN35*D35</f>
        <v>0</v>
      </c>
      <c r="AP35" s="29">
        <f>-AN35*$E35</f>
        <v>0</v>
      </c>
      <c r="AQ35" s="29">
        <f t="shared" si="4"/>
        <v>0</v>
      </c>
      <c r="AR35" s="30">
        <f t="shared" si="5"/>
        <v>7.0817603292344196E-3</v>
      </c>
      <c r="AT35" s="12"/>
      <c r="AU35">
        <f>IF($AG35&gt;AT$21,1,0)</f>
        <v>0</v>
      </c>
      <c r="AV35">
        <f>IF($AG35&lt;AT$22,1,0)</f>
        <v>0</v>
      </c>
      <c r="AW35">
        <f t="shared" si="6"/>
        <v>0</v>
      </c>
      <c r="AX35">
        <f>IF(F36+H36&gt;0,0,1)</f>
        <v>1</v>
      </c>
      <c r="AY35">
        <f t="shared" si="7"/>
        <v>0</v>
      </c>
      <c r="AZ35" s="29">
        <f>-AY35*D35</f>
        <v>0</v>
      </c>
      <c r="BA35" s="29">
        <f>AY35*$E35</f>
        <v>0</v>
      </c>
      <c r="BB35" s="29">
        <f t="shared" si="8"/>
        <v>0</v>
      </c>
      <c r="BC35" s="30">
        <f t="shared" si="9"/>
        <v>0</v>
      </c>
      <c r="BE35" s="30">
        <f t="shared" si="10"/>
        <v>0</v>
      </c>
      <c r="BF35" s="30">
        <f t="shared" si="11"/>
        <v>7.0817603292344196E-3</v>
      </c>
      <c r="BH35" s="30"/>
    </row>
    <row r="36" spans="1:122" x14ac:dyDescent="0.25">
      <c r="A36" s="1">
        <v>46076</v>
      </c>
      <c r="B36" s="34">
        <v>494.09</v>
      </c>
      <c r="C36" s="34">
        <v>740200</v>
      </c>
      <c r="D36" s="16">
        <v>-8.2839159992363701E-3</v>
      </c>
      <c r="E36" s="16">
        <v>-8.4751970271895096E-3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494.09</v>
      </c>
      <c r="M36" s="34">
        <v>740200</v>
      </c>
      <c r="N36" s="35">
        <v>1498.1076322127501</v>
      </c>
      <c r="O36" s="35">
        <v>1499.9485700668399</v>
      </c>
      <c r="P36" s="35">
        <v>1500.28612778819</v>
      </c>
      <c r="Q36" s="35">
        <v>1500.5131033586999</v>
      </c>
      <c r="R36" s="34">
        <v>741109.58898432797</v>
      </c>
      <c r="S36" s="34">
        <v>741412.13829182601</v>
      </c>
      <c r="T36" s="34">
        <v>741563.03870288399</v>
      </c>
      <c r="U36" s="16">
        <v>1.2280877750506099E-3</v>
      </c>
      <c r="V36" s="16">
        <v>1.63624275333057E-3</v>
      </c>
      <c r="W36" s="16">
        <v>1.83975312075986E-3</v>
      </c>
      <c r="X36" s="35">
        <v>1498.1076322127501</v>
      </c>
      <c r="Y36" s="35">
        <v>1499.9485700668399</v>
      </c>
      <c r="Z36" s="35">
        <v>1500.28612778819</v>
      </c>
      <c r="AA36" s="35">
        <v>1500.5131033586999</v>
      </c>
      <c r="AB36" s="34">
        <v>741109.58898432797</v>
      </c>
      <c r="AC36" s="34">
        <v>741412.13829182601</v>
      </c>
      <c r="AD36" s="34">
        <v>741563.03870288399</v>
      </c>
      <c r="AE36" s="16">
        <v>1.2280877750506099E-3</v>
      </c>
      <c r="AF36" s="16">
        <v>1.63624275333057E-3</v>
      </c>
      <c r="AG36" s="16">
        <v>1.83975312075986E-3</v>
      </c>
      <c r="AI36" s="12"/>
      <c r="AJ36">
        <f>IF($AG36&lt;AI$21,1,0)</f>
        <v>0</v>
      </c>
      <c r="AK36">
        <f>IF($AG36&gt;AI$22,1,0)</f>
        <v>1</v>
      </c>
      <c r="AL36">
        <f t="shared" si="2"/>
        <v>0</v>
      </c>
      <c r="AM36">
        <f>IF(F37+H37&gt;0,0,1)</f>
        <v>1</v>
      </c>
      <c r="AN36">
        <f t="shared" si="3"/>
        <v>0</v>
      </c>
      <c r="AO36" s="29">
        <f>AN36*D36</f>
        <v>0</v>
      </c>
      <c r="AP36" s="29">
        <f>-AN36*$E36</f>
        <v>0</v>
      </c>
      <c r="AQ36" s="29">
        <f t="shared" si="4"/>
        <v>0</v>
      </c>
      <c r="AR36" s="30">
        <f t="shared" si="5"/>
        <v>7.0817603292344196E-3</v>
      </c>
      <c r="AT36" s="12"/>
      <c r="AU36">
        <f>IF($AG36&gt;AT$21,1,0)</f>
        <v>0</v>
      </c>
      <c r="AV36">
        <f>IF($AG36&lt;AT$22,1,0)</f>
        <v>0</v>
      </c>
      <c r="AW36">
        <f t="shared" si="6"/>
        <v>0</v>
      </c>
      <c r="AX36">
        <f>IF(F37+H37&gt;0,0,1)</f>
        <v>1</v>
      </c>
      <c r="AY36">
        <f t="shared" si="7"/>
        <v>0</v>
      </c>
      <c r="AZ36" s="29">
        <f>-AY36*D36</f>
        <v>0</v>
      </c>
      <c r="BA36" s="29">
        <f>AY36*$E36</f>
        <v>0</v>
      </c>
      <c r="BB36" s="29">
        <f t="shared" si="8"/>
        <v>0</v>
      </c>
      <c r="BC36" s="30">
        <f t="shared" si="9"/>
        <v>0</v>
      </c>
      <c r="BE36" s="30">
        <f t="shared" si="10"/>
        <v>0</v>
      </c>
      <c r="BF36" s="30">
        <f t="shared" si="11"/>
        <v>7.0817603292344196E-3</v>
      </c>
      <c r="BH36" s="30"/>
    </row>
    <row r="37" spans="1:122" x14ac:dyDescent="0.25">
      <c r="A37" s="1">
        <v>46077</v>
      </c>
      <c r="B37" s="34">
        <v>494.51</v>
      </c>
      <c r="C37" s="34">
        <v>741200</v>
      </c>
      <c r="D37" s="16">
        <v>8.49686476368365E-4</v>
      </c>
      <c r="E37" s="16">
        <v>1.3500744591491199E-3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494.51</v>
      </c>
      <c r="M37" s="34">
        <v>741200</v>
      </c>
      <c r="N37" s="35">
        <v>1498.8574548542999</v>
      </c>
      <c r="O37" s="35">
        <v>1499.9485700668399</v>
      </c>
      <c r="P37" s="35">
        <v>1500.03414439472</v>
      </c>
      <c r="Q37" s="35">
        <v>1500.3303219760301</v>
      </c>
      <c r="R37" s="34">
        <v>741739.56738375605</v>
      </c>
      <c r="S37" s="34">
        <v>741906.49305253802</v>
      </c>
      <c r="T37" s="34">
        <v>742018.73474191304</v>
      </c>
      <c r="U37" s="16">
        <v>7.2769979226973999E-4</v>
      </c>
      <c r="V37" s="16">
        <v>9.5272067014372404E-4</v>
      </c>
      <c r="W37" s="16">
        <v>1.10399741574573E-3</v>
      </c>
      <c r="X37" s="35">
        <v>1498.8574548542999</v>
      </c>
      <c r="Y37" s="35">
        <v>1499.9485700668399</v>
      </c>
      <c r="Z37" s="35">
        <v>1500.03414439472</v>
      </c>
      <c r="AA37" s="35">
        <v>1500.3303219760301</v>
      </c>
      <c r="AB37" s="34">
        <v>741739.56738375605</v>
      </c>
      <c r="AC37" s="34">
        <v>741906.49305253802</v>
      </c>
      <c r="AD37" s="34">
        <v>742018.73474191304</v>
      </c>
      <c r="AE37" s="16">
        <v>7.2769979226973999E-4</v>
      </c>
      <c r="AF37" s="16">
        <v>9.5272067014372404E-4</v>
      </c>
      <c r="AG37" s="16">
        <v>1.10399741574573E-3</v>
      </c>
      <c r="AI37" s="12"/>
      <c r="AJ37">
        <f>IF($AG37&lt;AI$21,1,0)</f>
        <v>0</v>
      </c>
      <c r="AK37">
        <f>IF($AG37&gt;AI$22,1,0)</f>
        <v>1</v>
      </c>
      <c r="AL37">
        <f t="shared" si="2"/>
        <v>0</v>
      </c>
      <c r="AM37">
        <f>IF(F38+H38&gt;0,0,1)</f>
        <v>1</v>
      </c>
      <c r="AN37">
        <f t="shared" si="3"/>
        <v>0</v>
      </c>
      <c r="AO37" s="29">
        <f>AN37*D37</f>
        <v>0</v>
      </c>
      <c r="AP37" s="29">
        <f>-AN37*$E37</f>
        <v>0</v>
      </c>
      <c r="AQ37" s="29">
        <f t="shared" si="4"/>
        <v>0</v>
      </c>
      <c r="AR37" s="30">
        <f t="shared" si="5"/>
        <v>7.0817603292344196E-3</v>
      </c>
      <c r="AT37" s="12"/>
      <c r="AU37">
        <f>IF($AG37&gt;AT$21,1,0)</f>
        <v>0</v>
      </c>
      <c r="AV37">
        <f>IF($AG37&lt;AT$22,1,0)</f>
        <v>0</v>
      </c>
      <c r="AW37">
        <f t="shared" si="6"/>
        <v>0</v>
      </c>
      <c r="AX37">
        <f>IF(F38+H38&gt;0,0,1)</f>
        <v>1</v>
      </c>
      <c r="AY37">
        <f t="shared" si="7"/>
        <v>0</v>
      </c>
      <c r="AZ37" s="29">
        <f>-AY37*D37</f>
        <v>0</v>
      </c>
      <c r="BA37" s="29">
        <f>AY37*$E37</f>
        <v>0</v>
      </c>
      <c r="BB37" s="29">
        <f t="shared" si="8"/>
        <v>0</v>
      </c>
      <c r="BC37" s="30">
        <f t="shared" si="9"/>
        <v>0</v>
      </c>
      <c r="BE37" s="30">
        <f t="shared" si="10"/>
        <v>0</v>
      </c>
      <c r="BF37" s="30">
        <f t="shared" si="11"/>
        <v>7.0817603292344196E-3</v>
      </c>
      <c r="BH37" s="30"/>
    </row>
    <row r="38" spans="1:122" x14ac:dyDescent="0.25">
      <c r="A38" s="1">
        <v>46078</v>
      </c>
      <c r="B38" s="34">
        <v>493.99</v>
      </c>
      <c r="C38" s="34">
        <v>742000</v>
      </c>
      <c r="D38" s="16">
        <v>-1.05209923715971E-3</v>
      </c>
      <c r="E38" s="16">
        <v>1.0787487561758301E-3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493.99</v>
      </c>
      <c r="M38" s="34">
        <v>742000</v>
      </c>
      <c r="N38" s="35">
        <v>1502.0546974635099</v>
      </c>
      <c r="O38" s="35">
        <v>1499.9485700668399</v>
      </c>
      <c r="P38" s="35">
        <v>1500.3255625720101</v>
      </c>
      <c r="Q38" s="35">
        <v>1500.3282471919699</v>
      </c>
      <c r="R38" s="34">
        <v>740959.59412732103</v>
      </c>
      <c r="S38" s="34">
        <v>741001.866989551</v>
      </c>
      <c r="T38" s="34">
        <v>741148.17575294105</v>
      </c>
      <c r="U38" s="16">
        <v>-1.4031482010657501E-3</v>
      </c>
      <c r="V38" s="16">
        <v>-1.34609832041735E-3</v>
      </c>
      <c r="W38" s="16">
        <v>-1.1486705841607899E-3</v>
      </c>
      <c r="X38" s="35">
        <v>1502.0546974635099</v>
      </c>
      <c r="Y38" s="35">
        <v>1499.9485700668399</v>
      </c>
      <c r="Z38" s="35">
        <v>1500.3255625720101</v>
      </c>
      <c r="AA38" s="35">
        <v>1500.3282471919699</v>
      </c>
      <c r="AB38" s="34">
        <v>740959.59412732103</v>
      </c>
      <c r="AC38" s="34">
        <v>741001.866989551</v>
      </c>
      <c r="AD38" s="34">
        <v>741148.17575294105</v>
      </c>
      <c r="AE38" s="16">
        <v>-1.4031482010657501E-3</v>
      </c>
      <c r="AF38" s="16">
        <v>-1.34609832041735E-3</v>
      </c>
      <c r="AG38" s="16">
        <v>-1.1486705841607899E-3</v>
      </c>
      <c r="AI38" s="12"/>
      <c r="AJ38">
        <f>IF($AG38&lt;AI$21,1,0)</f>
        <v>0</v>
      </c>
      <c r="AK38">
        <f>IF($AG38&gt;AI$22,1,0)</f>
        <v>0</v>
      </c>
      <c r="AL38">
        <f t="shared" si="2"/>
        <v>0</v>
      </c>
      <c r="AM38">
        <f>IF(F39+H39&gt;0,0,1)</f>
        <v>1</v>
      </c>
      <c r="AN38">
        <f t="shared" si="3"/>
        <v>0</v>
      </c>
      <c r="AO38" s="29">
        <f>AN38*D38</f>
        <v>0</v>
      </c>
      <c r="AP38" s="29">
        <f>-AN38*$E38</f>
        <v>0</v>
      </c>
      <c r="AQ38" s="29">
        <f t="shared" si="4"/>
        <v>0</v>
      </c>
      <c r="AR38" s="30">
        <f t="shared" si="5"/>
        <v>7.0817603292344196E-3</v>
      </c>
      <c r="AT38" s="12"/>
      <c r="AU38">
        <f>IF($AG38&gt;AT$21,1,0)</f>
        <v>0</v>
      </c>
      <c r="AV38">
        <f>IF($AG38&lt;AT$22,1,0)</f>
        <v>1</v>
      </c>
      <c r="AW38">
        <f t="shared" si="6"/>
        <v>0</v>
      </c>
      <c r="AX38">
        <f>IF(F39+H39&gt;0,0,1)</f>
        <v>1</v>
      </c>
      <c r="AY38">
        <f t="shared" si="7"/>
        <v>0</v>
      </c>
      <c r="AZ38" s="29">
        <f>-AY38*D38</f>
        <v>0</v>
      </c>
      <c r="BA38" s="29">
        <f>AY38*$E38</f>
        <v>0</v>
      </c>
      <c r="BB38" s="29">
        <f t="shared" si="8"/>
        <v>0</v>
      </c>
      <c r="BC38" s="30">
        <f t="shared" si="9"/>
        <v>0</v>
      </c>
      <c r="BE38" s="30">
        <f t="shared" si="10"/>
        <v>0</v>
      </c>
      <c r="BF38" s="30">
        <f t="shared" si="11"/>
        <v>7.0817603292344196E-3</v>
      </c>
      <c r="BH38" s="30"/>
    </row>
    <row r="39" spans="1:122" x14ac:dyDescent="0.25">
      <c r="A39" s="1">
        <v>46079</v>
      </c>
      <c r="B39" s="34">
        <v>502.67</v>
      </c>
      <c r="C39" s="34">
        <v>753250</v>
      </c>
      <c r="D39" s="16">
        <v>1.7418617109487299E-2</v>
      </c>
      <c r="E39" s="16">
        <v>1.50479348430301E-2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502.67</v>
      </c>
      <c r="M39" s="34">
        <v>753250</v>
      </c>
      <c r="N39" s="35">
        <v>1498.4980205701499</v>
      </c>
      <c r="O39" s="35">
        <v>1499.9485700668399</v>
      </c>
      <c r="P39" s="35">
        <v>1500.49011403905</v>
      </c>
      <c r="Q39" s="35">
        <v>1500.3307633760301</v>
      </c>
      <c r="R39" s="34">
        <v>753979.14771550102</v>
      </c>
      <c r="S39" s="34">
        <v>754168.650538077</v>
      </c>
      <c r="T39" s="34">
        <v>754170.00001598999</v>
      </c>
      <c r="U39" s="16">
        <v>9.6753406539135795E-4</v>
      </c>
      <c r="V39" s="16">
        <v>1.2188394398277499E-3</v>
      </c>
      <c r="W39" s="16">
        <v>1.2206287964984699E-3</v>
      </c>
      <c r="X39" s="35">
        <v>1498.4980205701499</v>
      </c>
      <c r="Y39" s="35">
        <v>1499.9485700668399</v>
      </c>
      <c r="Z39" s="35">
        <v>1500.49011403905</v>
      </c>
      <c r="AA39" s="35">
        <v>1500.3307633760301</v>
      </c>
      <c r="AB39" s="34">
        <v>753979.14771550102</v>
      </c>
      <c r="AC39" s="34">
        <v>754168.650538077</v>
      </c>
      <c r="AD39" s="34">
        <v>754170.00001598999</v>
      </c>
      <c r="AE39" s="16">
        <v>9.6753406539135795E-4</v>
      </c>
      <c r="AF39" s="16">
        <v>1.2188394398277499E-3</v>
      </c>
      <c r="AG39" s="16">
        <v>1.2206287964984699E-3</v>
      </c>
      <c r="AI39" s="12"/>
      <c r="AJ39">
        <f>IF($AG39&lt;AI$21,1,0)</f>
        <v>0</v>
      </c>
      <c r="AK39">
        <f>IF($AG39&gt;AI$22,1,0)</f>
        <v>1</v>
      </c>
      <c r="AL39">
        <f t="shared" si="2"/>
        <v>0</v>
      </c>
      <c r="AM39">
        <f>IF(F40+H40&gt;0,0,1)</f>
        <v>1</v>
      </c>
      <c r="AN39">
        <f t="shared" si="3"/>
        <v>0</v>
      </c>
      <c r="AO39" s="29">
        <f>AN39*D39</f>
        <v>0</v>
      </c>
      <c r="AP39" s="29">
        <f>-AN39*$E39</f>
        <v>0</v>
      </c>
      <c r="AQ39" s="29">
        <f t="shared" si="4"/>
        <v>0</v>
      </c>
      <c r="AR39" s="30">
        <f t="shared" si="5"/>
        <v>7.0817603292344196E-3</v>
      </c>
      <c r="AT39" s="12"/>
      <c r="AU39">
        <f>IF($AG39&gt;AT$21,1,0)</f>
        <v>0</v>
      </c>
      <c r="AV39">
        <f>IF($AG39&lt;AT$22,1,0)</f>
        <v>0</v>
      </c>
      <c r="AW39">
        <f t="shared" si="6"/>
        <v>0</v>
      </c>
      <c r="AX39">
        <f>IF(F40+H40&gt;0,0,1)</f>
        <v>1</v>
      </c>
      <c r="AY39">
        <f t="shared" si="7"/>
        <v>0</v>
      </c>
      <c r="AZ39" s="29">
        <f>-AY39*D39</f>
        <v>0</v>
      </c>
      <c r="BA39" s="29">
        <f>AY39*$E39</f>
        <v>0</v>
      </c>
      <c r="BB39" s="29">
        <f t="shared" si="8"/>
        <v>0</v>
      </c>
      <c r="BC39" s="30">
        <f t="shared" si="9"/>
        <v>0</v>
      </c>
      <c r="BE39" s="30">
        <f t="shared" si="10"/>
        <v>0</v>
      </c>
      <c r="BF39" s="30">
        <f t="shared" si="11"/>
        <v>7.0817603292344196E-3</v>
      </c>
      <c r="BH39" s="30"/>
    </row>
    <row r="40" spans="1:122" x14ac:dyDescent="0.25">
      <c r="A40" s="1">
        <v>46080</v>
      </c>
      <c r="B40" s="34">
        <v>504.95</v>
      </c>
      <c r="C40" s="34">
        <v>757000</v>
      </c>
      <c r="D40" s="16">
        <v>4.5255232950263697E-3</v>
      </c>
      <c r="E40" s="16">
        <v>4.9660754270381604E-3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504.95</v>
      </c>
      <c r="M40" s="34">
        <v>757000</v>
      </c>
      <c r="N40" s="35">
        <v>1499.1583325081599</v>
      </c>
      <c r="O40" s="35">
        <v>1499.9485700668399</v>
      </c>
      <c r="P40" s="35">
        <v>1500.5009453899099</v>
      </c>
      <c r="Q40" s="35">
        <v>1500.41294854733</v>
      </c>
      <c r="R40" s="34">
        <v>757399.03045525402</v>
      </c>
      <c r="S40" s="34">
        <v>757672.48308402195</v>
      </c>
      <c r="T40" s="34">
        <v>757592.01896672603</v>
      </c>
      <c r="U40" s="16">
        <v>5.2698193337967795E-4</v>
      </c>
      <c r="V40" s="16">
        <v>8.8795846721884098E-4</v>
      </c>
      <c r="W40" s="16">
        <v>7.8175375211726901E-4</v>
      </c>
      <c r="X40" s="35">
        <v>1499.1583325081599</v>
      </c>
      <c r="Y40" s="35">
        <v>1499.9485700668399</v>
      </c>
      <c r="Z40" s="35">
        <v>1500.5009453899099</v>
      </c>
      <c r="AA40" s="35">
        <v>1500.41294854733</v>
      </c>
      <c r="AB40" s="34">
        <v>757399.03045525402</v>
      </c>
      <c r="AC40" s="34">
        <v>757672.48308402195</v>
      </c>
      <c r="AD40" s="34">
        <v>757592.01896672603</v>
      </c>
      <c r="AE40" s="16">
        <v>5.2698193337967795E-4</v>
      </c>
      <c r="AF40" s="16">
        <v>8.8795846721884098E-4</v>
      </c>
      <c r="AG40" s="16">
        <v>7.8175375211726901E-4</v>
      </c>
      <c r="AI40" s="12"/>
      <c r="AJ40">
        <f>IF($AG40&lt;AI$21,1,0)</f>
        <v>0</v>
      </c>
      <c r="AK40">
        <f>IF($AG40&gt;AI$22,1,0)</f>
        <v>1</v>
      </c>
      <c r="AL40">
        <f t="shared" si="2"/>
        <v>0</v>
      </c>
      <c r="AM40">
        <f>IF(F41+H41&gt;0,0,1)</f>
        <v>1</v>
      </c>
      <c r="AN40">
        <f t="shared" si="3"/>
        <v>0</v>
      </c>
      <c r="AO40" s="29">
        <f>AN40*D40</f>
        <v>0</v>
      </c>
      <c r="AP40" s="29">
        <f>-AN40*$E40</f>
        <v>0</v>
      </c>
      <c r="AQ40" s="29">
        <f t="shared" si="4"/>
        <v>0</v>
      </c>
      <c r="AR40" s="30">
        <f t="shared" si="5"/>
        <v>7.0817603292344196E-3</v>
      </c>
      <c r="AT40" s="12"/>
      <c r="AU40">
        <f>IF($AG40&gt;AT$21,1,0)</f>
        <v>0</v>
      </c>
      <c r="AV40">
        <f>IF($AG40&lt;AT$22,1,0)</f>
        <v>1</v>
      </c>
      <c r="AW40">
        <f t="shared" si="6"/>
        <v>0</v>
      </c>
      <c r="AX40">
        <f>IF(F41+H41&gt;0,0,1)</f>
        <v>1</v>
      </c>
      <c r="AY40">
        <f t="shared" si="7"/>
        <v>0</v>
      </c>
      <c r="AZ40" s="29">
        <f>-AY40*D40</f>
        <v>0</v>
      </c>
      <c r="BA40" s="29">
        <f>AY40*$E40</f>
        <v>0</v>
      </c>
      <c r="BB40" s="29">
        <f t="shared" si="8"/>
        <v>0</v>
      </c>
      <c r="BC40" s="30">
        <f t="shared" si="9"/>
        <v>0</v>
      </c>
      <c r="BE40" s="30">
        <f t="shared" si="10"/>
        <v>0</v>
      </c>
      <c r="BF40" s="30">
        <f t="shared" si="11"/>
        <v>7.0817603292344196E-3</v>
      </c>
      <c r="BH40" s="30"/>
    </row>
    <row r="41" spans="1:122" x14ac:dyDescent="0.25">
      <c r="A41" s="1">
        <v>46083</v>
      </c>
      <c r="B41" s="34">
        <v>480.17</v>
      </c>
      <c r="C41" s="34">
        <v>720000</v>
      </c>
      <c r="D41" s="16">
        <v>-5.0319206606172097E-2</v>
      </c>
      <c r="E41" s="16">
        <v>-5.0112041427347799E-2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480.17</v>
      </c>
      <c r="M41" s="34">
        <v>720000</v>
      </c>
      <c r="N41" s="35">
        <v>1499.46893808442</v>
      </c>
      <c r="O41" s="35">
        <v>1499.9485700668399</v>
      </c>
      <c r="P41" s="35">
        <v>1499.42281658756</v>
      </c>
      <c r="Q41" s="35">
        <v>1500.2089871732001</v>
      </c>
      <c r="R41" s="34">
        <v>720230.30488899699</v>
      </c>
      <c r="S41" s="34">
        <v>720495.53894787398</v>
      </c>
      <c r="T41" s="34">
        <v>720453.285503975</v>
      </c>
      <c r="U41" s="16">
        <v>3.1981675455518797E-4</v>
      </c>
      <c r="V41" s="16">
        <v>6.8801180430484396E-4</v>
      </c>
      <c r="W41" s="16">
        <v>6.2936510819177802E-4</v>
      </c>
      <c r="X41" s="35">
        <v>1499.46893808442</v>
      </c>
      <c r="Y41" s="35">
        <v>1499.9485700668399</v>
      </c>
      <c r="Z41" s="35">
        <v>1499.42281658756</v>
      </c>
      <c r="AA41" s="35">
        <v>1500.2089871732001</v>
      </c>
      <c r="AB41" s="34">
        <v>720230.30488899699</v>
      </c>
      <c r="AC41" s="34">
        <v>720495.53894787398</v>
      </c>
      <c r="AD41" s="34">
        <v>720453.285503975</v>
      </c>
      <c r="AE41" s="16">
        <v>3.1981675455518797E-4</v>
      </c>
      <c r="AF41" s="16">
        <v>6.8801180430484396E-4</v>
      </c>
      <c r="AG41" s="16">
        <v>6.2936510819177802E-4</v>
      </c>
      <c r="AI41" s="12"/>
      <c r="AJ41">
        <f>IF($AG41&lt;AI$21,1,0)</f>
        <v>0</v>
      </c>
      <c r="AK41">
        <f>IF($AG41&gt;AI$22,1,0)</f>
        <v>1</v>
      </c>
      <c r="AL41">
        <f t="shared" si="2"/>
        <v>0</v>
      </c>
      <c r="AM41">
        <f>IF(F42+H42&gt;0,0,1)</f>
        <v>1</v>
      </c>
      <c r="AN41">
        <f t="shared" si="3"/>
        <v>0</v>
      </c>
      <c r="AO41" s="29">
        <f>AN41*D41</f>
        <v>0</v>
      </c>
      <c r="AP41" s="29">
        <f>-AN41*$E41</f>
        <v>0</v>
      </c>
      <c r="AQ41" s="29">
        <f t="shared" si="4"/>
        <v>0</v>
      </c>
      <c r="AR41" s="30">
        <f t="shared" si="5"/>
        <v>7.0817603292344196E-3</v>
      </c>
      <c r="AT41" s="12"/>
      <c r="AU41">
        <f>IF($AG41&gt;AT$21,1,0)</f>
        <v>0</v>
      </c>
      <c r="AV41">
        <f>IF($AG41&lt;AT$22,1,0)</f>
        <v>1</v>
      </c>
      <c r="AW41">
        <f t="shared" si="6"/>
        <v>0</v>
      </c>
      <c r="AX41">
        <f>IF(F42+H42&gt;0,0,1)</f>
        <v>1</v>
      </c>
      <c r="AY41">
        <f t="shared" si="7"/>
        <v>0</v>
      </c>
      <c r="AZ41" s="29">
        <f>-AY41*D41</f>
        <v>0</v>
      </c>
      <c r="BA41" s="29">
        <f>AY41*$E41</f>
        <v>0</v>
      </c>
      <c r="BB41" s="29">
        <f t="shared" si="8"/>
        <v>0</v>
      </c>
      <c r="BC41" s="30">
        <f t="shared" si="9"/>
        <v>0</v>
      </c>
      <c r="BE41" s="30">
        <f t="shared" si="10"/>
        <v>0</v>
      </c>
      <c r="BF41" s="30">
        <f t="shared" si="11"/>
        <v>7.0817603292344196E-3</v>
      </c>
      <c r="BH41" s="30"/>
    </row>
    <row r="42" spans="1:122" x14ac:dyDescent="0.25">
      <c r="A42" s="1">
        <v>46084</v>
      </c>
      <c r="B42" s="34">
        <v>481.36</v>
      </c>
      <c r="C42" s="34">
        <v>721044.88</v>
      </c>
      <c r="D42" s="16">
        <v>2.4752230457026699E-3</v>
      </c>
      <c r="E42" s="16">
        <v>1.45017021692578E-3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481.36</v>
      </c>
      <c r="M42" s="34">
        <v>721044.88</v>
      </c>
      <c r="N42" s="35">
        <v>1497.9326907096499</v>
      </c>
      <c r="O42" s="35">
        <v>1499.9485700668399</v>
      </c>
      <c r="P42" s="35">
        <v>1499.2568079326199</v>
      </c>
      <c r="Q42" s="35">
        <v>1500.26056024631</v>
      </c>
      <c r="R42" s="34">
        <v>722015.24368737696</v>
      </c>
      <c r="S42" s="34">
        <v>721762.16699258902</v>
      </c>
      <c r="T42" s="34">
        <v>722140.598065692</v>
      </c>
      <c r="U42" s="16">
        <v>1.3448695833321301E-3</v>
      </c>
      <c r="V42" s="16">
        <v>9.9429380134850192E-4</v>
      </c>
      <c r="W42" s="16">
        <v>1.5184718705722601E-3</v>
      </c>
      <c r="X42" s="35">
        <v>1497.9326907096499</v>
      </c>
      <c r="Y42" s="35">
        <v>1499.9485700668399</v>
      </c>
      <c r="Z42" s="35">
        <v>1499.2568079326199</v>
      </c>
      <c r="AA42" s="35">
        <v>1500.26056024631</v>
      </c>
      <c r="AB42" s="34">
        <v>722015.24368737696</v>
      </c>
      <c r="AC42" s="34">
        <v>721762.16699258902</v>
      </c>
      <c r="AD42" s="34">
        <v>722140.598065692</v>
      </c>
      <c r="AE42" s="16">
        <v>1.3448695833321301E-3</v>
      </c>
      <c r="AF42" s="16">
        <v>9.9429380134850192E-4</v>
      </c>
      <c r="AG42" s="16">
        <v>1.5184718705722601E-3</v>
      </c>
      <c r="AI42" s="12"/>
      <c r="AJ42">
        <f>IF($AG42&lt;AI$21,1,0)</f>
        <v>0</v>
      </c>
      <c r="AK42">
        <f>IF($AG42&gt;AI$22,1,0)</f>
        <v>1</v>
      </c>
      <c r="AL42">
        <f t="shared" si="2"/>
        <v>0</v>
      </c>
      <c r="AM42">
        <f>IF(F43+H43&gt;0,0,1)</f>
        <v>1</v>
      </c>
      <c r="AN42">
        <f t="shared" si="3"/>
        <v>0</v>
      </c>
      <c r="AO42" s="29">
        <f>AN42*D42</f>
        <v>0</v>
      </c>
      <c r="AP42" s="29">
        <f>-AN42*$E42</f>
        <v>0</v>
      </c>
      <c r="AQ42" s="29">
        <f t="shared" si="4"/>
        <v>0</v>
      </c>
      <c r="AR42" s="30">
        <f t="shared" si="5"/>
        <v>7.0817603292344196E-3</v>
      </c>
      <c r="AT42" s="12"/>
      <c r="AU42">
        <f>IF($AG42&gt;AT$21,1,0)</f>
        <v>0</v>
      </c>
      <c r="AV42">
        <f>IF($AG42&lt;AT$22,1,0)</f>
        <v>0</v>
      </c>
      <c r="AW42">
        <f t="shared" si="6"/>
        <v>0</v>
      </c>
      <c r="AX42">
        <f>IF(F43+H43&gt;0,0,1)</f>
        <v>1</v>
      </c>
      <c r="AY42">
        <f t="shared" si="7"/>
        <v>0</v>
      </c>
      <c r="AZ42" s="29">
        <f>-AY42*D42</f>
        <v>0</v>
      </c>
      <c r="BA42" s="29">
        <f>AY42*$E42</f>
        <v>0</v>
      </c>
      <c r="BB42" s="29">
        <f t="shared" si="8"/>
        <v>0</v>
      </c>
      <c r="BC42" s="30">
        <f t="shared" si="9"/>
        <v>0</v>
      </c>
      <c r="BE42" s="30">
        <f t="shared" si="10"/>
        <v>0</v>
      </c>
      <c r="BF42" s="30">
        <f t="shared" si="11"/>
        <v>7.0817603292344196E-3</v>
      </c>
      <c r="BH42" s="30"/>
    </row>
    <row r="43" spans="1:122" x14ac:dyDescent="0.25">
      <c r="A43" s="1">
        <v>46085</v>
      </c>
      <c r="B43" s="34">
        <v>487.48</v>
      </c>
      <c r="C43" s="34">
        <v>730707</v>
      </c>
      <c r="D43" s="16">
        <v>1.26338330432051E-2</v>
      </c>
      <c r="E43" s="16">
        <v>1.33111763791925E-2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487.48</v>
      </c>
      <c r="M43" s="34">
        <v>730707</v>
      </c>
      <c r="N43" s="35">
        <v>1498.94764913432</v>
      </c>
      <c r="O43" s="35">
        <v>1499.9485700668399</v>
      </c>
      <c r="P43" s="35">
        <v>1499.28081323317</v>
      </c>
      <c r="Q43" s="35">
        <v>1500.2545380771101</v>
      </c>
      <c r="R43" s="34">
        <v>731194.92893618601</v>
      </c>
      <c r="S43" s="34">
        <v>730857.70873099298</v>
      </c>
      <c r="T43" s="34">
        <v>731347.01790887106</v>
      </c>
      <c r="U43" s="16">
        <v>6.6752624734490898E-4</v>
      </c>
      <c r="V43" s="16">
        <v>2.0622929744741701E-4</v>
      </c>
      <c r="W43" s="16">
        <v>8.7550520283606896E-4</v>
      </c>
      <c r="X43" s="35">
        <v>1498.94764913432</v>
      </c>
      <c r="Y43" s="35">
        <v>1499.9485700668399</v>
      </c>
      <c r="Z43" s="35">
        <v>1499.28081323317</v>
      </c>
      <c r="AA43" s="35">
        <v>1500.2545380771101</v>
      </c>
      <c r="AB43" s="34">
        <v>731194.92893618601</v>
      </c>
      <c r="AC43" s="34">
        <v>730857.70873099298</v>
      </c>
      <c r="AD43" s="34">
        <v>731347.01790887106</v>
      </c>
      <c r="AE43" s="16">
        <v>6.6752624734490898E-4</v>
      </c>
      <c r="AF43" s="16">
        <v>2.0622929744741701E-4</v>
      </c>
      <c r="AG43" s="16">
        <v>8.7550520283606896E-4</v>
      </c>
      <c r="AI43" s="12"/>
      <c r="AJ43">
        <f>IF($AG43&lt;AI$21,1,0)</f>
        <v>0</v>
      </c>
      <c r="AK43">
        <f>IF($AG43&gt;AI$22,1,0)</f>
        <v>1</v>
      </c>
      <c r="AL43">
        <f t="shared" si="2"/>
        <v>0</v>
      </c>
      <c r="AM43">
        <f>IF(F44+H44&gt;0,0,1)</f>
        <v>1</v>
      </c>
      <c r="AN43">
        <f t="shared" si="3"/>
        <v>0</v>
      </c>
      <c r="AO43" s="29">
        <f>AN43*D43</f>
        <v>0</v>
      </c>
      <c r="AP43" s="29">
        <f>-AN43*$E43</f>
        <v>0</v>
      </c>
      <c r="AQ43" s="29">
        <f t="shared" si="4"/>
        <v>0</v>
      </c>
      <c r="AR43" s="30">
        <f t="shared" si="5"/>
        <v>7.0817603292344196E-3</v>
      </c>
      <c r="AT43" s="12"/>
      <c r="AU43">
        <f>IF($AG43&gt;AT$21,1,0)</f>
        <v>0</v>
      </c>
      <c r="AV43">
        <f>IF($AG43&lt;AT$22,1,0)</f>
        <v>1</v>
      </c>
      <c r="AW43">
        <f t="shared" si="6"/>
        <v>0</v>
      </c>
      <c r="AX43">
        <f>IF(F44+H44&gt;0,0,1)</f>
        <v>1</v>
      </c>
      <c r="AY43">
        <f t="shared" si="7"/>
        <v>0</v>
      </c>
      <c r="AZ43" s="29">
        <f>-AY43*D43</f>
        <v>0</v>
      </c>
      <c r="BA43" s="29">
        <f>AY43*$E43</f>
        <v>0</v>
      </c>
      <c r="BB43" s="29">
        <f t="shared" si="8"/>
        <v>0</v>
      </c>
      <c r="BC43" s="30">
        <f t="shared" si="9"/>
        <v>0</v>
      </c>
      <c r="BE43" s="30">
        <f t="shared" si="10"/>
        <v>0</v>
      </c>
      <c r="BF43" s="30">
        <f t="shared" si="11"/>
        <v>7.0817603292344196E-3</v>
      </c>
      <c r="BH43" s="30"/>
    </row>
    <row r="44" spans="1:122" x14ac:dyDescent="0.25">
      <c r="A44" s="1">
        <v>46086</v>
      </c>
      <c r="B44" s="34">
        <v>500.4</v>
      </c>
      <c r="C44" s="34">
        <v>750749.88</v>
      </c>
      <c r="D44" s="16">
        <v>2.6158514637454298E-2</v>
      </c>
      <c r="E44" s="16">
        <v>2.7059988417047799E-2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500.4</v>
      </c>
      <c r="M44" s="34">
        <v>750749.88</v>
      </c>
      <c r="N44" s="35">
        <v>1500.2995203836899</v>
      </c>
      <c r="O44" s="35">
        <v>1499.9485700668399</v>
      </c>
      <c r="P44" s="35">
        <v>1499.171915511</v>
      </c>
      <c r="Q44" s="35">
        <v>1500.0566446760499</v>
      </c>
      <c r="R44" s="34">
        <v>750574.26446145005</v>
      </c>
      <c r="S44" s="34">
        <v>750240.11894187902</v>
      </c>
      <c r="T44" s="34">
        <v>750727.37085378601</v>
      </c>
      <c r="U44" s="16">
        <v>-2.33947532248529E-4</v>
      </c>
      <c r="V44" s="16">
        <v>-6.7923314356314402E-4</v>
      </c>
      <c r="W44" s="16">
        <v>-2.9982667007255999E-5</v>
      </c>
      <c r="X44" s="35">
        <v>1500.2995203836899</v>
      </c>
      <c r="Y44" s="35">
        <v>1499.9485700668399</v>
      </c>
      <c r="Z44" s="35">
        <v>1499.171915511</v>
      </c>
      <c r="AA44" s="35">
        <v>1500.0566446760499</v>
      </c>
      <c r="AB44" s="34">
        <v>750574.26446145005</v>
      </c>
      <c r="AC44" s="34">
        <v>750240.11894187902</v>
      </c>
      <c r="AD44" s="34">
        <v>750727.37085378601</v>
      </c>
      <c r="AE44" s="16">
        <v>-2.33947532248529E-4</v>
      </c>
      <c r="AF44" s="16">
        <v>-6.7923314356314402E-4</v>
      </c>
      <c r="AG44" s="16">
        <v>-2.9982667007255999E-5</v>
      </c>
      <c r="AI44" s="12"/>
      <c r="AJ44">
        <f>IF($AG44&lt;AI$21,1,0)</f>
        <v>0</v>
      </c>
      <c r="AK44">
        <f>IF($AG44&gt;AI$22,1,0)</f>
        <v>1</v>
      </c>
      <c r="AL44">
        <f t="shared" si="2"/>
        <v>0</v>
      </c>
      <c r="AM44">
        <f>IF(F45+H45&gt;0,0,1)</f>
        <v>1</v>
      </c>
      <c r="AN44">
        <f t="shared" si="3"/>
        <v>0</v>
      </c>
      <c r="AO44" s="29">
        <f>AN44*D44</f>
        <v>0</v>
      </c>
      <c r="AP44" s="29">
        <f>-AN44*$E44</f>
        <v>0</v>
      </c>
      <c r="AQ44" s="29">
        <f t="shared" si="4"/>
        <v>0</v>
      </c>
      <c r="AR44" s="30">
        <f t="shared" si="5"/>
        <v>7.0817603292344196E-3</v>
      </c>
      <c r="AT44" s="12"/>
      <c r="AU44">
        <f>IF($AG44&gt;AT$21,1,0)</f>
        <v>0</v>
      </c>
      <c r="AV44">
        <f>IF($AG44&lt;AT$22,1,0)</f>
        <v>1</v>
      </c>
      <c r="AW44">
        <f t="shared" si="6"/>
        <v>0</v>
      </c>
      <c r="AX44">
        <f>IF(F45+H45&gt;0,0,1)</f>
        <v>1</v>
      </c>
      <c r="AY44">
        <f t="shared" si="7"/>
        <v>0</v>
      </c>
      <c r="AZ44" s="29">
        <f>-AY44*D44</f>
        <v>0</v>
      </c>
      <c r="BA44" s="29">
        <f>AY44*$E44</f>
        <v>0</v>
      </c>
      <c r="BB44" s="29">
        <f t="shared" si="8"/>
        <v>0</v>
      </c>
      <c r="BC44" s="30">
        <f t="shared" si="9"/>
        <v>0</v>
      </c>
      <c r="BE44" s="30">
        <f t="shared" si="10"/>
        <v>0</v>
      </c>
      <c r="BF44" s="30">
        <f t="shared" si="11"/>
        <v>7.0817603292344196E-3</v>
      </c>
      <c r="BH44" s="30"/>
    </row>
    <row r="45" spans="1:122" x14ac:dyDescent="0.25">
      <c r="A45" s="1">
        <v>46087</v>
      </c>
      <c r="B45" s="34">
        <v>498.98</v>
      </c>
      <c r="C45" s="34">
        <v>747800</v>
      </c>
      <c r="D45" s="16">
        <v>-2.8417638047891001E-3</v>
      </c>
      <c r="E45" s="16">
        <v>-3.9369844802536703E-3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498.98</v>
      </c>
      <c r="M45" s="34">
        <v>747800</v>
      </c>
      <c r="N45" s="35">
        <v>1498.65726081205</v>
      </c>
      <c r="O45" s="35">
        <v>1499.9485700668399</v>
      </c>
      <c r="P45" s="35">
        <v>1499.1982196732999</v>
      </c>
      <c r="Q45" s="35">
        <v>1499.8795630858799</v>
      </c>
      <c r="R45" s="34">
        <v>748444.33749195503</v>
      </c>
      <c r="S45" s="34">
        <v>748056.80240168201</v>
      </c>
      <c r="T45" s="34">
        <v>748498.26456045697</v>
      </c>
      <c r="U45" s="16">
        <v>8.6127314321627604E-4</v>
      </c>
      <c r="V45" s="16">
        <v>3.43351587923212E-4</v>
      </c>
      <c r="W45" s="16">
        <v>9.3332275747880396E-4</v>
      </c>
      <c r="X45" s="35">
        <v>1498.65726081205</v>
      </c>
      <c r="Y45" s="35">
        <v>1499.9485700668399</v>
      </c>
      <c r="Z45" s="35">
        <v>1499.1982196732999</v>
      </c>
      <c r="AA45" s="35">
        <v>1499.8795630858799</v>
      </c>
      <c r="AB45" s="34">
        <v>748444.33749195503</v>
      </c>
      <c r="AC45" s="34">
        <v>748056.80240168201</v>
      </c>
      <c r="AD45" s="34">
        <v>748498.26456045697</v>
      </c>
      <c r="AE45" s="16">
        <v>8.6127314321627604E-4</v>
      </c>
      <c r="AF45" s="16">
        <v>3.43351587923212E-4</v>
      </c>
      <c r="AG45" s="16">
        <v>9.3332275747880396E-4</v>
      </c>
      <c r="AI45" s="12"/>
      <c r="AJ45">
        <f>IF($AG45&lt;AI$21,1,0)</f>
        <v>0</v>
      </c>
      <c r="AK45">
        <f>IF($AG45&gt;AI$22,1,0)</f>
        <v>1</v>
      </c>
      <c r="AL45">
        <f t="shared" si="2"/>
        <v>0</v>
      </c>
      <c r="AM45">
        <f>IF(F46+H46&gt;0,0,1)</f>
        <v>1</v>
      </c>
      <c r="AN45">
        <f t="shared" si="3"/>
        <v>0</v>
      </c>
      <c r="AO45" s="29">
        <f>AN45*D45</f>
        <v>0</v>
      </c>
      <c r="AP45" s="29">
        <f>-AN45*$E45</f>
        <v>0</v>
      </c>
      <c r="AQ45" s="29">
        <f t="shared" si="4"/>
        <v>0</v>
      </c>
      <c r="AR45" s="30">
        <f t="shared" si="5"/>
        <v>7.0817603292344196E-3</v>
      </c>
      <c r="AT45" s="12"/>
      <c r="AU45">
        <f>IF($AG45&gt;AT$21,1,0)</f>
        <v>0</v>
      </c>
      <c r="AV45">
        <f>IF($AG45&lt;AT$22,1,0)</f>
        <v>1</v>
      </c>
      <c r="AW45">
        <f t="shared" si="6"/>
        <v>0</v>
      </c>
      <c r="AX45">
        <f>IF(F46+H46&gt;0,0,1)</f>
        <v>1</v>
      </c>
      <c r="AY45">
        <f t="shared" si="7"/>
        <v>0</v>
      </c>
      <c r="AZ45" s="29">
        <f>-AY45*D45</f>
        <v>0</v>
      </c>
      <c r="BA45" s="29">
        <f>AY45*$E45</f>
        <v>0</v>
      </c>
      <c r="BB45" s="29">
        <f t="shared" si="8"/>
        <v>0</v>
      </c>
      <c r="BC45" s="30">
        <f t="shared" si="9"/>
        <v>0</v>
      </c>
      <c r="BE45" s="30">
        <f t="shared" si="10"/>
        <v>0</v>
      </c>
      <c r="BF45" s="30">
        <f t="shared" si="11"/>
        <v>7.0817603292344196E-3</v>
      </c>
      <c r="BH45" s="30"/>
    </row>
    <row r="46" spans="1:122" x14ac:dyDescent="0.25">
      <c r="A46" s="1">
        <v>46090</v>
      </c>
      <c r="B46" s="34">
        <v>497.2</v>
      </c>
      <c r="C46" s="34">
        <v>745200</v>
      </c>
      <c r="D46" s="16">
        <v>-3.57365515141093E-3</v>
      </c>
      <c r="E46" s="16">
        <v>-3.48292381557999E-3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497.2</v>
      </c>
      <c r="M46" s="34">
        <v>745200</v>
      </c>
      <c r="N46" s="35">
        <v>1498.7932421560699</v>
      </c>
      <c r="O46" s="35">
        <v>1499.9485700668399</v>
      </c>
      <c r="P46" s="35">
        <v>1499.26678066763</v>
      </c>
      <c r="Q46" s="35">
        <v>1499.7764542279101</v>
      </c>
      <c r="R46" s="34">
        <v>745774.42903723603</v>
      </c>
      <c r="S46" s="34">
        <v>745401.35482156696</v>
      </c>
      <c r="T46" s="34">
        <v>745740.11876630096</v>
      </c>
      <c r="U46" s="16">
        <v>7.7054180738521405E-4</v>
      </c>
      <c r="V46" s="16">
        <v>2.7016589263196297E-4</v>
      </c>
      <c r="W46" s="16">
        <v>7.2453451769305204E-4</v>
      </c>
      <c r="X46" s="35">
        <v>1498.7932421560699</v>
      </c>
      <c r="Y46" s="35">
        <v>1499.9485700668399</v>
      </c>
      <c r="Z46" s="35">
        <v>1499.26678066763</v>
      </c>
      <c r="AA46" s="35">
        <v>1499.7764542279101</v>
      </c>
      <c r="AB46" s="34">
        <v>745774.42903723603</v>
      </c>
      <c r="AC46" s="34">
        <v>745401.35482156696</v>
      </c>
      <c r="AD46" s="34">
        <v>745740.11876630096</v>
      </c>
      <c r="AE46" s="16">
        <v>7.7054180738521405E-4</v>
      </c>
      <c r="AF46" s="16">
        <v>2.7016589263196297E-4</v>
      </c>
      <c r="AG46" s="16">
        <v>7.2453451769305204E-4</v>
      </c>
      <c r="AI46" s="12"/>
      <c r="AJ46">
        <f>IF($AG46&lt;AI$21,1,0)</f>
        <v>0</v>
      </c>
      <c r="AK46">
        <f>IF($AG46&gt;AI$22,1,0)</f>
        <v>1</v>
      </c>
      <c r="AL46">
        <f t="shared" si="2"/>
        <v>0</v>
      </c>
      <c r="AM46">
        <f>IF(F47+H47&gt;0,0,1)</f>
        <v>1</v>
      </c>
      <c r="AN46">
        <f t="shared" si="3"/>
        <v>0</v>
      </c>
      <c r="AO46" s="29">
        <f>AN46*D46</f>
        <v>0</v>
      </c>
      <c r="AP46" s="29">
        <f>-AN46*$E46</f>
        <v>0</v>
      </c>
      <c r="AQ46" s="29">
        <f t="shared" si="4"/>
        <v>0</v>
      </c>
      <c r="AR46" s="30">
        <f t="shared" si="5"/>
        <v>7.0817603292344196E-3</v>
      </c>
      <c r="AT46" s="12"/>
      <c r="AU46">
        <f>IF($AG46&gt;AT$21,1,0)</f>
        <v>0</v>
      </c>
      <c r="AV46">
        <f>IF($AG46&lt;AT$22,1,0)</f>
        <v>1</v>
      </c>
      <c r="AW46">
        <f t="shared" si="6"/>
        <v>0</v>
      </c>
      <c r="AX46">
        <f>IF(F47+H47&gt;0,0,1)</f>
        <v>1</v>
      </c>
      <c r="AY46">
        <f t="shared" si="7"/>
        <v>0</v>
      </c>
      <c r="AZ46" s="29">
        <f>-AY46*D46</f>
        <v>0</v>
      </c>
      <c r="BA46" s="29">
        <f>AY46*$E46</f>
        <v>0</v>
      </c>
      <c r="BB46" s="29">
        <f t="shared" si="8"/>
        <v>0</v>
      </c>
      <c r="BC46" s="30">
        <f t="shared" si="9"/>
        <v>0</v>
      </c>
      <c r="BE46" s="30">
        <f t="shared" si="10"/>
        <v>0</v>
      </c>
      <c r="BF46" s="30">
        <f t="shared" si="11"/>
        <v>7.0817603292344196E-3</v>
      </c>
      <c r="BH46" s="30"/>
    </row>
    <row r="47" spans="1:122" x14ac:dyDescent="0.25">
      <c r="A47" s="1">
        <v>46091</v>
      </c>
      <c r="B47" s="34">
        <v>494.14</v>
      </c>
      <c r="C47" s="34">
        <v>740000</v>
      </c>
      <c r="D47" s="16">
        <v>-6.1734817893407904E-3</v>
      </c>
      <c r="E47" s="16">
        <v>-7.0024525292179804E-3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494.14</v>
      </c>
      <c r="M47" s="34">
        <v>740000</v>
      </c>
      <c r="N47" s="35">
        <v>1497.5513012506501</v>
      </c>
      <c r="O47" s="35">
        <v>1499.9485700668399</v>
      </c>
      <c r="P47" s="35">
        <v>1499.1361653072699</v>
      </c>
      <c r="Q47" s="35">
        <v>1499.58515485099</v>
      </c>
      <c r="R47" s="34">
        <v>741184.58641283098</v>
      </c>
      <c r="S47" s="34">
        <v>740847.68699910596</v>
      </c>
      <c r="T47" s="34">
        <v>741099.53709218104</v>
      </c>
      <c r="U47" s="16">
        <v>1.59951254726235E-3</v>
      </c>
      <c r="V47" s="16">
        <v>1.14486736095593E-3</v>
      </c>
      <c r="W47" s="16">
        <v>1.48475813628975E-3</v>
      </c>
      <c r="X47" s="35">
        <v>1497.5513012506501</v>
      </c>
      <c r="Y47" s="35">
        <v>1499.9485700668399</v>
      </c>
      <c r="Z47" s="35">
        <v>1499.1361653072699</v>
      </c>
      <c r="AA47" s="35">
        <v>1499.58515485099</v>
      </c>
      <c r="AB47" s="34">
        <v>741184.58641283098</v>
      </c>
      <c r="AC47" s="34">
        <v>740847.68699910596</v>
      </c>
      <c r="AD47" s="34">
        <v>741099.53709218104</v>
      </c>
      <c r="AE47" s="16">
        <v>1.59951254726235E-3</v>
      </c>
      <c r="AF47" s="16">
        <v>1.14486736095593E-3</v>
      </c>
      <c r="AG47" s="16">
        <v>1.48475813628975E-3</v>
      </c>
      <c r="AI47" s="12"/>
      <c r="AJ47">
        <f>IF($AG47&lt;AI$21,1,0)</f>
        <v>0</v>
      </c>
      <c r="AK47">
        <f>IF($AG47&gt;AI$22,1,0)</f>
        <v>1</v>
      </c>
      <c r="AL47">
        <f t="shared" si="2"/>
        <v>0</v>
      </c>
      <c r="AM47">
        <f>IF(F48+H48&gt;0,0,1)</f>
        <v>1</v>
      </c>
      <c r="AN47">
        <f t="shared" si="3"/>
        <v>0</v>
      </c>
      <c r="AO47" s="29">
        <f>AN47*D47</f>
        <v>0</v>
      </c>
      <c r="AP47" s="29">
        <f>-AN47*$E47</f>
        <v>0</v>
      </c>
      <c r="AQ47" s="29">
        <f t="shared" si="4"/>
        <v>0</v>
      </c>
      <c r="AR47" s="30">
        <f t="shared" si="5"/>
        <v>7.0817603292344196E-3</v>
      </c>
      <c r="AT47" s="12"/>
      <c r="AU47">
        <f>IF($AG47&gt;AT$21,1,0)</f>
        <v>0</v>
      </c>
      <c r="AV47">
        <f>IF($AG47&lt;AT$22,1,0)</f>
        <v>0</v>
      </c>
      <c r="AW47">
        <f t="shared" si="6"/>
        <v>0</v>
      </c>
      <c r="AX47">
        <f>IF(F48+H48&gt;0,0,1)</f>
        <v>1</v>
      </c>
      <c r="AY47">
        <f t="shared" si="7"/>
        <v>0</v>
      </c>
      <c r="AZ47" s="29">
        <f>-AY47*D47</f>
        <v>0</v>
      </c>
      <c r="BA47" s="29">
        <f>AY47*$E47</f>
        <v>0</v>
      </c>
      <c r="BB47" s="29">
        <f t="shared" si="8"/>
        <v>0</v>
      </c>
      <c r="BC47" s="30">
        <f t="shared" si="9"/>
        <v>0</v>
      </c>
      <c r="BE47" s="30">
        <f t="shared" si="10"/>
        <v>0</v>
      </c>
      <c r="BF47" s="30">
        <f t="shared" si="11"/>
        <v>7.0817603292344196E-3</v>
      </c>
      <c r="BH47" s="30"/>
    </row>
    <row r="48" spans="1:122" x14ac:dyDescent="0.25">
      <c r="A48" s="1">
        <v>46092</v>
      </c>
      <c r="B48" s="34">
        <v>493.57</v>
      </c>
      <c r="C48" s="34">
        <v>740000</v>
      </c>
      <c r="D48" s="16">
        <v>-1.1541850609527199E-3</v>
      </c>
      <c r="E48" s="16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493.57</v>
      </c>
      <c r="M48" s="34">
        <v>740000</v>
      </c>
      <c r="N48" s="35">
        <v>1499.28075045079</v>
      </c>
      <c r="O48" s="35">
        <v>1499.9485700668399</v>
      </c>
      <c r="P48" s="35">
        <v>1498.858770606</v>
      </c>
      <c r="Q48" s="35">
        <v>1499.59216658901</v>
      </c>
      <c r="R48" s="34">
        <v>740329.61572789296</v>
      </c>
      <c r="S48" s="34">
        <v>739928.63711071003</v>
      </c>
      <c r="T48" s="34">
        <v>740150.244879807</v>
      </c>
      <c r="U48" s="16">
        <v>4.4532748630970998E-4</v>
      </c>
      <c r="V48" s="16">
        <v>-9.6440987160233797E-5</v>
      </c>
      <c r="W48" s="16">
        <v>2.03013012825826E-4</v>
      </c>
      <c r="X48" s="35">
        <v>1499.28075045079</v>
      </c>
      <c r="Y48" s="35">
        <v>1499.9485700668399</v>
      </c>
      <c r="Z48" s="35">
        <v>1498.858770606</v>
      </c>
      <c r="AA48" s="35">
        <v>1499.59216658901</v>
      </c>
      <c r="AB48" s="34">
        <v>740329.61572789296</v>
      </c>
      <c r="AC48" s="34">
        <v>739928.63711071003</v>
      </c>
      <c r="AD48" s="34">
        <v>740150.244879807</v>
      </c>
      <c r="AE48" s="16">
        <v>4.4532748630970998E-4</v>
      </c>
      <c r="AF48" s="16">
        <v>-9.6440987160233797E-5</v>
      </c>
      <c r="AG48" s="16">
        <v>2.03013012825826E-4</v>
      </c>
      <c r="AI48" s="12"/>
      <c r="AJ48">
        <f>IF($AG48&lt;AI$21,1,0)</f>
        <v>0</v>
      </c>
      <c r="AK48">
        <f>IF($AG48&gt;AI$22,1,0)</f>
        <v>1</v>
      </c>
      <c r="AL48">
        <f t="shared" si="2"/>
        <v>0</v>
      </c>
      <c r="AM48">
        <f>IF(F49+H49&gt;0,0,1)</f>
        <v>1</v>
      </c>
      <c r="AN48">
        <f t="shared" si="3"/>
        <v>0</v>
      </c>
      <c r="AO48" s="29">
        <f>AN48*D48</f>
        <v>0</v>
      </c>
      <c r="AP48" s="29">
        <f>-AN48*$E48</f>
        <v>0</v>
      </c>
      <c r="AQ48" s="29">
        <f t="shared" si="4"/>
        <v>0</v>
      </c>
      <c r="AR48" s="30">
        <f t="shared" si="5"/>
        <v>7.0817603292344196E-3</v>
      </c>
      <c r="AT48" s="12"/>
      <c r="AU48">
        <f>IF($AG48&gt;AT$21,1,0)</f>
        <v>0</v>
      </c>
      <c r="AV48">
        <f>IF($AG48&lt;AT$22,1,0)</f>
        <v>1</v>
      </c>
      <c r="AW48">
        <f t="shared" si="6"/>
        <v>0</v>
      </c>
      <c r="AX48">
        <f>IF(F49+H49&gt;0,0,1)</f>
        <v>1</v>
      </c>
      <c r="AY48">
        <f t="shared" si="7"/>
        <v>0</v>
      </c>
      <c r="AZ48" s="29">
        <f>-AY48*D48</f>
        <v>0</v>
      </c>
      <c r="BA48" s="29">
        <f>AY48*$E48</f>
        <v>0</v>
      </c>
      <c r="BB48" s="29">
        <f t="shared" si="8"/>
        <v>0</v>
      </c>
      <c r="BC48" s="30">
        <f t="shared" si="9"/>
        <v>0</v>
      </c>
      <c r="BE48" s="30">
        <f t="shared" si="10"/>
        <v>0</v>
      </c>
      <c r="BF48" s="30">
        <f t="shared" si="11"/>
        <v>7.0817603292344196E-3</v>
      </c>
      <c r="BH48" s="30"/>
    </row>
    <row r="49" spans="1:60" x14ac:dyDescent="0.25">
      <c r="A49" s="1">
        <v>46093</v>
      </c>
      <c r="B49" s="34">
        <v>491.89</v>
      </c>
      <c r="C49" s="34">
        <v>736625</v>
      </c>
      <c r="D49" s="16">
        <v>-3.4095785268428601E-3</v>
      </c>
      <c r="E49" s="16">
        <v>-4.5712430401380396E-3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491.89</v>
      </c>
      <c r="M49" s="34">
        <v>736625</v>
      </c>
      <c r="N49" s="35">
        <v>1497.5401004289499</v>
      </c>
      <c r="O49" s="35">
        <v>1499.9485700668399</v>
      </c>
      <c r="P49" s="35">
        <v>1498.76297859188</v>
      </c>
      <c r="Q49" s="35">
        <v>1499.62654631547</v>
      </c>
      <c r="R49" s="34">
        <v>737809.70213018102</v>
      </c>
      <c r="S49" s="34">
        <v>737273.640673385</v>
      </c>
      <c r="T49" s="34">
        <v>737634.39082346798</v>
      </c>
      <c r="U49" s="16">
        <v>1.60699199960473E-3</v>
      </c>
      <c r="V49" s="16">
        <v>8.8017004339549499E-4</v>
      </c>
      <c r="W49" s="16">
        <v>1.36935330034782E-3</v>
      </c>
      <c r="X49" s="35">
        <v>1497.5401004289499</v>
      </c>
      <c r="Y49" s="35">
        <v>1499.9485700668399</v>
      </c>
      <c r="Z49" s="35">
        <v>1498.76297859188</v>
      </c>
      <c r="AA49" s="35">
        <v>1499.62654631547</v>
      </c>
      <c r="AB49" s="34">
        <v>737809.70213018102</v>
      </c>
      <c r="AC49" s="34">
        <v>737273.640673385</v>
      </c>
      <c r="AD49" s="34">
        <v>737634.39082346798</v>
      </c>
      <c r="AE49" s="16">
        <v>1.60699199960473E-3</v>
      </c>
      <c r="AF49" s="16">
        <v>8.8017004339549499E-4</v>
      </c>
      <c r="AG49" s="16">
        <v>1.36935330034782E-3</v>
      </c>
      <c r="AI49" s="12"/>
      <c r="AJ49">
        <f>IF($AG49&lt;AI$21,1,0)</f>
        <v>0</v>
      </c>
      <c r="AK49">
        <f>IF($AG49&gt;AI$22,1,0)</f>
        <v>1</v>
      </c>
      <c r="AL49">
        <f t="shared" si="2"/>
        <v>0</v>
      </c>
      <c r="AM49">
        <f>IF(F50+H50&gt;0,0,1)</f>
        <v>1</v>
      </c>
      <c r="AN49">
        <f t="shared" si="3"/>
        <v>0</v>
      </c>
      <c r="AO49" s="29">
        <f>AN49*D49</f>
        <v>0</v>
      </c>
      <c r="AP49" s="29">
        <f>-AN49*$E49</f>
        <v>0</v>
      </c>
      <c r="AQ49" s="29">
        <f t="shared" si="4"/>
        <v>0</v>
      </c>
      <c r="AR49" s="30">
        <f t="shared" si="5"/>
        <v>7.0817603292344196E-3</v>
      </c>
      <c r="AT49" s="12"/>
      <c r="AU49">
        <f>IF($AG49&gt;AT$21,1,0)</f>
        <v>0</v>
      </c>
      <c r="AV49">
        <f>IF($AG49&lt;AT$22,1,0)</f>
        <v>0</v>
      </c>
      <c r="AW49">
        <f t="shared" si="6"/>
        <v>0</v>
      </c>
      <c r="AX49">
        <f>IF(F50+H50&gt;0,0,1)</f>
        <v>1</v>
      </c>
      <c r="AY49">
        <f t="shared" si="7"/>
        <v>0</v>
      </c>
      <c r="AZ49" s="29">
        <f>-AY49*D49</f>
        <v>0</v>
      </c>
      <c r="BA49" s="29">
        <f>AY49*$E49</f>
        <v>0</v>
      </c>
      <c r="BB49" s="29">
        <f t="shared" si="8"/>
        <v>0</v>
      </c>
      <c r="BC49" s="30">
        <f t="shared" si="9"/>
        <v>0</v>
      </c>
      <c r="BE49" s="30">
        <f t="shared" si="10"/>
        <v>0</v>
      </c>
      <c r="BF49" s="30">
        <f t="shared" si="11"/>
        <v>7.0817603292344196E-3</v>
      </c>
      <c r="BH49" s="30"/>
    </row>
    <row r="50" spans="1:60" x14ac:dyDescent="0.25">
      <c r="A50" s="1">
        <v>46094</v>
      </c>
      <c r="B50" s="34">
        <v>490.03</v>
      </c>
      <c r="C50" s="34">
        <v>734838.94</v>
      </c>
      <c r="D50" s="16">
        <v>-3.78850053909404E-3</v>
      </c>
      <c r="E50" s="16">
        <v>-2.4275972092638802E-3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490.03</v>
      </c>
      <c r="M50" s="34">
        <v>734838.94</v>
      </c>
      <c r="N50" s="35">
        <v>1499.5794951329499</v>
      </c>
      <c r="O50" s="35">
        <v>1499.9485700668399</v>
      </c>
      <c r="P50" s="35">
        <v>1498.80509485435</v>
      </c>
      <c r="Q50" s="35">
        <v>1499.6530201221301</v>
      </c>
      <c r="R50" s="34">
        <v>735019.79778985598</v>
      </c>
      <c r="S50" s="34">
        <v>734438.82239937899</v>
      </c>
      <c r="T50" s="34">
        <v>734861.99649096897</v>
      </c>
      <c r="U50" s="16">
        <v>2.4608866977457997E-4</v>
      </c>
      <c r="V50" s="16">
        <v>-5.4464529546521801E-4</v>
      </c>
      <c r="W50" s="16">
        <v>3.1375758699377599E-5</v>
      </c>
      <c r="X50" s="35">
        <v>1499.5794951329499</v>
      </c>
      <c r="Y50" s="35">
        <v>1499.9485700668399</v>
      </c>
      <c r="Z50" s="35">
        <v>1498.80509485435</v>
      </c>
      <c r="AA50" s="35">
        <v>1499.6530201221301</v>
      </c>
      <c r="AB50" s="34">
        <v>735019.79778985598</v>
      </c>
      <c r="AC50" s="34">
        <v>734438.82239937899</v>
      </c>
      <c r="AD50" s="34">
        <v>734861.99649096897</v>
      </c>
      <c r="AE50" s="16">
        <v>2.4608866977457997E-4</v>
      </c>
      <c r="AF50" s="16">
        <v>-5.4464529546521801E-4</v>
      </c>
      <c r="AG50" s="16">
        <v>3.1375758699377599E-5</v>
      </c>
      <c r="AI50" s="12"/>
      <c r="AJ50">
        <f>IF($AG50&lt;AI$21,1,0)</f>
        <v>0</v>
      </c>
      <c r="AK50">
        <f>IF($AG50&gt;AI$22,1,0)</f>
        <v>1</v>
      </c>
      <c r="AL50">
        <f t="shared" si="2"/>
        <v>0</v>
      </c>
      <c r="AM50">
        <f>IF(F51+H51&gt;0,0,1)</f>
        <v>1</v>
      </c>
      <c r="AN50">
        <f t="shared" si="3"/>
        <v>0</v>
      </c>
      <c r="AO50" s="29">
        <f>AN50*D50</f>
        <v>0</v>
      </c>
      <c r="AP50" s="29">
        <f>-AN50*$E50</f>
        <v>0</v>
      </c>
      <c r="AQ50" s="29">
        <f t="shared" si="4"/>
        <v>0</v>
      </c>
      <c r="AR50" s="30">
        <f t="shared" si="5"/>
        <v>7.0817603292344196E-3</v>
      </c>
      <c r="AT50" s="12"/>
      <c r="AU50">
        <f>IF($AG50&gt;AT$21,1,0)</f>
        <v>0</v>
      </c>
      <c r="AV50">
        <f>IF($AG50&lt;AT$22,1,0)</f>
        <v>1</v>
      </c>
      <c r="AW50">
        <f t="shared" si="6"/>
        <v>0</v>
      </c>
      <c r="AX50">
        <f>IF(F51+H51&gt;0,0,1)</f>
        <v>1</v>
      </c>
      <c r="AY50">
        <f t="shared" si="7"/>
        <v>0</v>
      </c>
      <c r="AZ50" s="29">
        <f>-AY50*D50</f>
        <v>0</v>
      </c>
      <c r="BA50" s="29">
        <f>AY50*$E50</f>
        <v>0</v>
      </c>
      <c r="BB50" s="29">
        <f t="shared" si="8"/>
        <v>0</v>
      </c>
      <c r="BC50" s="30">
        <f t="shared" si="9"/>
        <v>0</v>
      </c>
      <c r="BE50" s="30">
        <f t="shared" si="10"/>
        <v>0</v>
      </c>
      <c r="BF50" s="30">
        <f t="shared" si="11"/>
        <v>7.0817603292344196E-3</v>
      </c>
      <c r="BH50" s="30"/>
    </row>
    <row r="51" spans="1:60" x14ac:dyDescent="0.25">
      <c r="A51" s="1">
        <v>46097</v>
      </c>
      <c r="B51" s="34">
        <v>492.21</v>
      </c>
      <c r="C51" s="34">
        <v>738000</v>
      </c>
      <c r="D51" s="16">
        <v>4.4388409745750304E-3</v>
      </c>
      <c r="E51" s="16">
        <v>4.2924786516590598E-3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492.21</v>
      </c>
      <c r="M51" s="34">
        <v>738000</v>
      </c>
      <c r="N51" s="35">
        <v>1499.3600292558001</v>
      </c>
      <c r="O51" s="35">
        <v>1499.9485700668399</v>
      </c>
      <c r="P51" s="35">
        <v>1498.7942039714901</v>
      </c>
      <c r="Q51" s="35">
        <v>1499.10851027953</v>
      </c>
      <c r="R51" s="34">
        <v>738289.68567260203</v>
      </c>
      <c r="S51" s="34">
        <v>737726.85573826404</v>
      </c>
      <c r="T51" s="34">
        <v>738144.21303431597</v>
      </c>
      <c r="U51" s="16">
        <v>3.9245099269067502E-4</v>
      </c>
      <c r="V51" s="16">
        <v>-3.7018268495002399E-4</v>
      </c>
      <c r="W51" s="16">
        <v>1.9539152543802301E-4</v>
      </c>
      <c r="X51" s="35">
        <v>1499.3600292558001</v>
      </c>
      <c r="Y51" s="35">
        <v>1499.9485700668399</v>
      </c>
      <c r="Z51" s="35">
        <v>1498.7942039714901</v>
      </c>
      <c r="AA51" s="35">
        <v>1499.10851027953</v>
      </c>
      <c r="AB51" s="34">
        <v>738289.68567260203</v>
      </c>
      <c r="AC51" s="34">
        <v>737726.85573826404</v>
      </c>
      <c r="AD51" s="34">
        <v>738144.21303431597</v>
      </c>
      <c r="AE51" s="16">
        <v>3.9245099269067502E-4</v>
      </c>
      <c r="AF51" s="16">
        <v>-3.7018268495002399E-4</v>
      </c>
      <c r="AG51" s="16">
        <v>1.9539152543802301E-4</v>
      </c>
      <c r="AI51" s="12"/>
      <c r="AJ51">
        <f>IF($AG51&lt;AI$21,1,0)</f>
        <v>0</v>
      </c>
      <c r="AK51">
        <f>IF($AG51&gt;AI$22,1,0)</f>
        <v>1</v>
      </c>
      <c r="AL51">
        <f t="shared" si="2"/>
        <v>0</v>
      </c>
      <c r="AM51">
        <f>IF(F52+H52&gt;0,0,1)</f>
        <v>1</v>
      </c>
      <c r="AN51">
        <f t="shared" si="3"/>
        <v>0</v>
      </c>
      <c r="AO51" s="29">
        <f>AN51*D51</f>
        <v>0</v>
      </c>
      <c r="AP51" s="29">
        <f>-AN51*$E51</f>
        <v>0</v>
      </c>
      <c r="AQ51" s="29">
        <f t="shared" si="4"/>
        <v>0</v>
      </c>
      <c r="AR51" s="30">
        <f t="shared" si="5"/>
        <v>7.0817603292344196E-3</v>
      </c>
      <c r="AT51" s="12"/>
      <c r="AU51">
        <f>IF($AG51&gt;AT$21,1,0)</f>
        <v>0</v>
      </c>
      <c r="AV51">
        <f>IF($AG51&lt;AT$22,1,0)</f>
        <v>1</v>
      </c>
      <c r="AW51">
        <f t="shared" si="6"/>
        <v>0</v>
      </c>
      <c r="AX51">
        <f>IF(F52+H52&gt;0,0,1)</f>
        <v>1</v>
      </c>
      <c r="AY51">
        <f t="shared" si="7"/>
        <v>0</v>
      </c>
      <c r="AZ51" s="29">
        <f>-AY51*D51</f>
        <v>0</v>
      </c>
      <c r="BA51" s="29">
        <f>AY51*$E51</f>
        <v>0</v>
      </c>
      <c r="BB51" s="29">
        <f t="shared" si="8"/>
        <v>0</v>
      </c>
      <c r="BC51" s="30">
        <f t="shared" si="9"/>
        <v>0</v>
      </c>
      <c r="BE51" s="30">
        <f t="shared" si="10"/>
        <v>0</v>
      </c>
      <c r="BF51" s="30">
        <f t="shared" si="11"/>
        <v>7.0817603292344196E-3</v>
      </c>
      <c r="BH51" s="30"/>
    </row>
    <row r="52" spans="1:60" x14ac:dyDescent="0.25">
      <c r="A52" s="1">
        <v>46098</v>
      </c>
      <c r="B52" s="34">
        <v>492.58</v>
      </c>
      <c r="C52" s="34">
        <v>738390.38</v>
      </c>
      <c r="D52" s="16">
        <v>7.5142927407847505E-4</v>
      </c>
      <c r="E52" s="16">
        <v>5.2883033428858595E-4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492.58</v>
      </c>
      <c r="M52" s="34">
        <v>738390.38</v>
      </c>
      <c r="N52" s="35">
        <v>1499.02631044703</v>
      </c>
      <c r="O52" s="35">
        <v>1499.9485700668399</v>
      </c>
      <c r="P52" s="35">
        <v>1498.90356594523</v>
      </c>
      <c r="Q52" s="35">
        <v>1499.08018693892</v>
      </c>
      <c r="R52" s="34">
        <v>738844.66664352699</v>
      </c>
      <c r="S52" s="34">
        <v>738276.04899228003</v>
      </c>
      <c r="T52" s="34">
        <v>738430.86999349098</v>
      </c>
      <c r="U52" s="16">
        <v>6.1504993248083896E-4</v>
      </c>
      <c r="V52" s="16">
        <v>-1.5485014855579901E-4</v>
      </c>
      <c r="W52" s="16">
        <v>5.4833980079114601E-5</v>
      </c>
      <c r="X52" s="35">
        <v>1499.02631044703</v>
      </c>
      <c r="Y52" s="35">
        <v>1499.9485700668399</v>
      </c>
      <c r="Z52" s="35">
        <v>1498.90356594523</v>
      </c>
      <c r="AA52" s="35">
        <v>1499.08018693892</v>
      </c>
      <c r="AB52" s="34">
        <v>738844.66664352699</v>
      </c>
      <c r="AC52" s="34">
        <v>738276.04899228003</v>
      </c>
      <c r="AD52" s="34">
        <v>738430.86999349098</v>
      </c>
      <c r="AE52" s="16">
        <v>6.1504993248083896E-4</v>
      </c>
      <c r="AF52" s="16">
        <v>-1.5485014855579901E-4</v>
      </c>
      <c r="AG52" s="16">
        <v>5.4833980079114601E-5</v>
      </c>
      <c r="AI52" s="12"/>
      <c r="AJ52">
        <f>IF($AG52&lt;AI$21,1,0)</f>
        <v>0</v>
      </c>
      <c r="AK52">
        <f>IF($AG52&gt;AI$22,1,0)</f>
        <v>1</v>
      </c>
      <c r="AL52">
        <f t="shared" si="2"/>
        <v>0</v>
      </c>
      <c r="AM52">
        <f>IF(F53+H53&gt;0,0,1)</f>
        <v>1</v>
      </c>
      <c r="AN52">
        <f t="shared" si="3"/>
        <v>0</v>
      </c>
      <c r="AO52" s="29">
        <f>AN52*D52</f>
        <v>0</v>
      </c>
      <c r="AP52" s="29">
        <f>-AN52*$E52</f>
        <v>0</v>
      </c>
      <c r="AQ52" s="29">
        <f t="shared" si="4"/>
        <v>0</v>
      </c>
      <c r="AR52" s="30">
        <f t="shared" si="5"/>
        <v>7.0817603292344196E-3</v>
      </c>
      <c r="AT52" s="12"/>
      <c r="AU52">
        <f>IF($AG52&gt;AT$21,1,0)</f>
        <v>0</v>
      </c>
      <c r="AV52">
        <f>IF($AG52&lt;AT$22,1,0)</f>
        <v>1</v>
      </c>
      <c r="AW52">
        <f t="shared" si="6"/>
        <v>0</v>
      </c>
      <c r="AX52">
        <f>IF(F53+H53&gt;0,0,1)</f>
        <v>1</v>
      </c>
      <c r="AY52">
        <f t="shared" si="7"/>
        <v>0</v>
      </c>
      <c r="AZ52" s="29">
        <f>-AY52*D52</f>
        <v>0</v>
      </c>
      <c r="BA52" s="29">
        <f>AY52*$E52</f>
        <v>0</v>
      </c>
      <c r="BB52" s="29">
        <f t="shared" si="8"/>
        <v>0</v>
      </c>
      <c r="BC52" s="30">
        <f t="shared" si="9"/>
        <v>0</v>
      </c>
      <c r="BE52" s="30">
        <f t="shared" si="10"/>
        <v>0</v>
      </c>
      <c r="BF52" s="30">
        <f t="shared" si="11"/>
        <v>7.0817603292344196E-3</v>
      </c>
      <c r="BH52" s="30"/>
    </row>
    <row r="53" spans="1:60" x14ac:dyDescent="0.25">
      <c r="A53" s="1">
        <v>46099</v>
      </c>
      <c r="B53" s="34">
        <v>484.47</v>
      </c>
      <c r="C53" s="34">
        <v>726540</v>
      </c>
      <c r="D53" s="16">
        <v>-1.66013740598938E-2</v>
      </c>
      <c r="E53" s="16">
        <v>-1.6179114940430998E-2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484.47</v>
      </c>
      <c r="M53" s="34">
        <v>726540</v>
      </c>
      <c r="N53" s="35">
        <v>1499.6594216360099</v>
      </c>
      <c r="O53" s="35">
        <v>1499.9485700668399</v>
      </c>
      <c r="P53" s="35">
        <v>1498.9747431953999</v>
      </c>
      <c r="Q53" s="35">
        <v>1499.1277782142799</v>
      </c>
      <c r="R53" s="34">
        <v>726680.08374028502</v>
      </c>
      <c r="S53" s="34">
        <v>726173.81059348804</v>
      </c>
      <c r="T53" s="34">
        <v>726259.37816630199</v>
      </c>
      <c r="U53" s="16">
        <v>1.92790813017837E-4</v>
      </c>
      <c r="V53" s="16">
        <v>-5.0414529220753801E-4</v>
      </c>
      <c r="W53" s="16">
        <v>-3.86318773817272E-4</v>
      </c>
      <c r="X53" s="35">
        <v>1499.6594216360099</v>
      </c>
      <c r="Y53" s="35">
        <v>1499.9485700668399</v>
      </c>
      <c r="Z53" s="35">
        <v>1498.9747431953999</v>
      </c>
      <c r="AA53" s="35">
        <v>1499.1277782142799</v>
      </c>
      <c r="AB53" s="34">
        <v>726680.08374028502</v>
      </c>
      <c r="AC53" s="34">
        <v>726173.81059348804</v>
      </c>
      <c r="AD53" s="34">
        <v>726259.37816630199</v>
      </c>
      <c r="AE53" s="16">
        <v>1.92790813017837E-4</v>
      </c>
      <c r="AF53" s="16">
        <v>-5.0414529220753801E-4</v>
      </c>
      <c r="AG53" s="16">
        <v>-3.86318773817272E-4</v>
      </c>
      <c r="AI53" s="12"/>
      <c r="AJ53">
        <f>IF($AG53&lt;AI$21,1,0)</f>
        <v>0</v>
      </c>
      <c r="AK53">
        <f>IF($AG53&gt;AI$22,1,0)</f>
        <v>1</v>
      </c>
      <c r="AL53">
        <f t="shared" si="2"/>
        <v>0</v>
      </c>
      <c r="AM53">
        <f>IF(F54+H54&gt;0,0,1)</f>
        <v>1</v>
      </c>
      <c r="AN53">
        <f t="shared" si="3"/>
        <v>0</v>
      </c>
      <c r="AO53" s="29">
        <f>AN53*D53</f>
        <v>0</v>
      </c>
      <c r="AP53" s="29">
        <f>-AN53*$E53</f>
        <v>0</v>
      </c>
      <c r="AQ53" s="29">
        <f t="shared" si="4"/>
        <v>0</v>
      </c>
      <c r="AR53" s="30">
        <f t="shared" si="5"/>
        <v>7.0817603292344196E-3</v>
      </c>
      <c r="AT53" s="12"/>
      <c r="AU53">
        <f>IF($AG53&gt;AT$21,1,0)</f>
        <v>0</v>
      </c>
      <c r="AV53">
        <f>IF($AG53&lt;AT$22,1,0)</f>
        <v>1</v>
      </c>
      <c r="AW53">
        <f t="shared" si="6"/>
        <v>0</v>
      </c>
      <c r="AX53">
        <f>IF(F54+H54&gt;0,0,1)</f>
        <v>1</v>
      </c>
      <c r="AY53">
        <f t="shared" si="7"/>
        <v>0</v>
      </c>
      <c r="AZ53" s="29">
        <f>-AY53*D53</f>
        <v>0</v>
      </c>
      <c r="BA53" s="29">
        <f>AY53*$E53</f>
        <v>0</v>
      </c>
      <c r="BB53" s="29">
        <f t="shared" si="8"/>
        <v>0</v>
      </c>
      <c r="BC53" s="30">
        <f t="shared" si="9"/>
        <v>0</v>
      </c>
      <c r="BE53" s="30">
        <f t="shared" si="10"/>
        <v>0</v>
      </c>
      <c r="BF53" s="30">
        <f t="shared" si="11"/>
        <v>7.0817603292344196E-3</v>
      </c>
      <c r="BH53" s="30"/>
    </row>
    <row r="54" spans="1:60" x14ac:dyDescent="0.25">
      <c r="A54" s="1">
        <v>46100</v>
      </c>
      <c r="B54" s="34">
        <v>481.48</v>
      </c>
      <c r="C54" s="34">
        <v>722777.75</v>
      </c>
      <c r="D54" s="16">
        <v>-6.1908163975512602E-3</v>
      </c>
      <c r="E54" s="16">
        <v>-5.1917648159197803E-3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481.48</v>
      </c>
      <c r="M54" s="34">
        <v>722777.75</v>
      </c>
      <c r="N54" s="35">
        <v>1501.1584074104801</v>
      </c>
      <c r="O54" s="35">
        <v>1499.9485700668399</v>
      </c>
      <c r="P54" s="35">
        <v>1499.0606318980799</v>
      </c>
      <c r="Q54" s="35">
        <v>1499.1162737045399</v>
      </c>
      <c r="R54" s="34">
        <v>722195.23751578503</v>
      </c>
      <c r="S54" s="34">
        <v>721726.359353723</v>
      </c>
      <c r="T54" s="34">
        <v>721800.04265461501</v>
      </c>
      <c r="U54" s="16">
        <v>-8.0626076861352303E-4</v>
      </c>
      <c r="V54" s="16">
        <v>-1.4557117908285701E-3</v>
      </c>
      <c r="W54" s="16">
        <v>-1.3536238749389999E-3</v>
      </c>
      <c r="X54" s="35">
        <v>1501.1584074104801</v>
      </c>
      <c r="Y54" s="35">
        <v>1499.9485700668399</v>
      </c>
      <c r="Z54" s="35">
        <v>1499.0606318980799</v>
      </c>
      <c r="AA54" s="35">
        <v>1499.1162737045399</v>
      </c>
      <c r="AB54" s="34">
        <v>722195.23751578503</v>
      </c>
      <c r="AC54" s="34">
        <v>721726.359353723</v>
      </c>
      <c r="AD54" s="34">
        <v>721800.04265461501</v>
      </c>
      <c r="AE54" s="16">
        <v>-8.0626076861352303E-4</v>
      </c>
      <c r="AF54" s="16">
        <v>-1.4557117908285701E-3</v>
      </c>
      <c r="AG54" s="16">
        <v>-1.3536238749389999E-3</v>
      </c>
      <c r="AI54" s="12"/>
      <c r="AJ54">
        <f>IF($AG54&lt;AI$21,1,0)</f>
        <v>0</v>
      </c>
      <c r="AK54">
        <f>IF($AG54&gt;AI$22,1,0)</f>
        <v>0</v>
      </c>
      <c r="AL54">
        <f t="shared" si="2"/>
        <v>0</v>
      </c>
      <c r="AM54">
        <f>IF(F55+H55&gt;0,0,1)</f>
        <v>1</v>
      </c>
      <c r="AN54">
        <f t="shared" si="3"/>
        <v>0</v>
      </c>
      <c r="AO54" s="29">
        <f>AN54*D54</f>
        <v>0</v>
      </c>
      <c r="AP54" s="29">
        <f>-AN54*$E54</f>
        <v>0</v>
      </c>
      <c r="AQ54" s="29">
        <f t="shared" si="4"/>
        <v>0</v>
      </c>
      <c r="AR54" s="30">
        <f t="shared" si="5"/>
        <v>7.0817603292344196E-3</v>
      </c>
      <c r="AT54" s="12"/>
      <c r="AU54">
        <f>IF($AG54&gt;AT$21,1,0)</f>
        <v>0</v>
      </c>
      <c r="AV54">
        <f>IF($AG54&lt;AT$22,1,0)</f>
        <v>1</v>
      </c>
      <c r="AW54">
        <f t="shared" si="6"/>
        <v>0</v>
      </c>
      <c r="AX54">
        <f>IF(F55+H55&gt;0,0,1)</f>
        <v>1</v>
      </c>
      <c r="AY54">
        <f t="shared" si="7"/>
        <v>0</v>
      </c>
      <c r="AZ54" s="29">
        <f>-AY54*D54</f>
        <v>0</v>
      </c>
      <c r="BA54" s="29">
        <f>AY54*$E54</f>
        <v>0</v>
      </c>
      <c r="BB54" s="29">
        <f t="shared" si="8"/>
        <v>0</v>
      </c>
      <c r="BC54" s="30">
        <f t="shared" si="9"/>
        <v>0</v>
      </c>
      <c r="BE54" s="30">
        <f t="shared" si="10"/>
        <v>0</v>
      </c>
      <c r="BF54" s="30">
        <f t="shared" si="11"/>
        <v>7.0817603292344196E-3</v>
      </c>
      <c r="BH54" s="30"/>
    </row>
    <row r="55" spans="1:60" x14ac:dyDescent="0.25">
      <c r="A55" s="1">
        <v>46101</v>
      </c>
      <c r="B55" s="34">
        <v>480.94</v>
      </c>
      <c r="C55" s="34">
        <v>720702.06</v>
      </c>
      <c r="D55" s="16">
        <v>-1.12217131120949E-3</v>
      </c>
      <c r="E55" s="16">
        <v>-2.8759549199227001E-3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480.94</v>
      </c>
      <c r="M55" s="34">
        <v>720702.06</v>
      </c>
      <c r="N55" s="35">
        <v>1498.5280076516799</v>
      </c>
      <c r="O55" s="35">
        <v>1499.9485700668399</v>
      </c>
      <c r="P55" s="35">
        <v>1499.0477065820401</v>
      </c>
      <c r="Q55" s="35">
        <v>1499.1229631276699</v>
      </c>
      <c r="R55" s="34">
        <v>721385.26528794901</v>
      </c>
      <c r="S55" s="34">
        <v>720958.22030506399</v>
      </c>
      <c r="T55" s="34">
        <v>720984.98067546298</v>
      </c>
      <c r="U55" s="16">
        <v>9.4752284009972396E-4</v>
      </c>
      <c r="V55" s="16">
        <v>3.5536847516629298E-4</v>
      </c>
      <c r="W55" s="16">
        <v>3.9248556880021502E-4</v>
      </c>
      <c r="X55" s="35">
        <v>1498.5280076516799</v>
      </c>
      <c r="Y55" s="35">
        <v>1499.9485700668399</v>
      </c>
      <c r="Z55" s="35">
        <v>1499.0477065820401</v>
      </c>
      <c r="AA55" s="35">
        <v>1499.1229631276699</v>
      </c>
      <c r="AB55" s="34">
        <v>721385.26528794901</v>
      </c>
      <c r="AC55" s="34">
        <v>720958.22030506399</v>
      </c>
      <c r="AD55" s="34">
        <v>720984.98067546298</v>
      </c>
      <c r="AE55" s="16">
        <v>9.4752284009972396E-4</v>
      </c>
      <c r="AF55" s="16">
        <v>3.5536847516629298E-4</v>
      </c>
      <c r="AG55" s="16">
        <v>3.9248556880021502E-4</v>
      </c>
      <c r="AI55" s="12"/>
      <c r="AJ55">
        <f>IF($AG55&lt;AI$21,1,0)</f>
        <v>0</v>
      </c>
      <c r="AK55">
        <f>IF($AG55&gt;AI$22,1,0)</f>
        <v>1</v>
      </c>
      <c r="AL55">
        <f t="shared" si="2"/>
        <v>0</v>
      </c>
      <c r="AM55">
        <f>IF(F56+H56&gt;0,0,1)</f>
        <v>1</v>
      </c>
      <c r="AN55">
        <f t="shared" si="3"/>
        <v>0</v>
      </c>
      <c r="AO55" s="29">
        <f>AN55*D55</f>
        <v>0</v>
      </c>
      <c r="AP55" s="29">
        <f>-AN55*$E55</f>
        <v>0</v>
      </c>
      <c r="AQ55" s="29">
        <f t="shared" si="4"/>
        <v>0</v>
      </c>
      <c r="AR55" s="30">
        <f t="shared" si="5"/>
        <v>7.0817603292344196E-3</v>
      </c>
      <c r="AT55" s="12"/>
      <c r="AU55">
        <f>IF($AG55&gt;AT$21,1,0)</f>
        <v>0</v>
      </c>
      <c r="AV55">
        <f>IF($AG55&lt;AT$22,1,0)</f>
        <v>1</v>
      </c>
      <c r="AW55">
        <f t="shared" si="6"/>
        <v>0</v>
      </c>
      <c r="AX55">
        <f>IF(F56+H56&gt;0,0,1)</f>
        <v>1</v>
      </c>
      <c r="AY55">
        <f t="shared" si="7"/>
        <v>0</v>
      </c>
      <c r="AZ55" s="29">
        <f>-AY55*D55</f>
        <v>0</v>
      </c>
      <c r="BA55" s="29">
        <f>AY55*$E55</f>
        <v>0</v>
      </c>
      <c r="BB55" s="29">
        <f t="shared" si="8"/>
        <v>0</v>
      </c>
      <c r="BC55" s="30">
        <f t="shared" si="9"/>
        <v>0</v>
      </c>
      <c r="BE55" s="30">
        <f t="shared" si="10"/>
        <v>0</v>
      </c>
      <c r="BF55" s="30">
        <f t="shared" si="11"/>
        <v>7.0817603292344196E-3</v>
      </c>
      <c r="BH55" s="30"/>
    </row>
    <row r="56" spans="1:60" x14ac:dyDescent="0.25">
      <c r="A56" s="1">
        <v>46104</v>
      </c>
      <c r="B56" s="34">
        <v>479.98</v>
      </c>
      <c r="C56" s="34">
        <v>720000</v>
      </c>
      <c r="D56" s="16">
        <v>-1.9980858331343299E-3</v>
      </c>
      <c r="E56" s="16">
        <v>-9.7460824838641903E-4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479.98</v>
      </c>
      <c r="M56" s="34">
        <v>720000</v>
      </c>
      <c r="N56" s="35">
        <v>1500.0625026042701</v>
      </c>
      <c r="O56" s="35">
        <v>1499.9485700668399</v>
      </c>
      <c r="P56" s="35">
        <v>1499.1746326268601</v>
      </c>
      <c r="Q56" s="35">
        <v>1499.2207066472499</v>
      </c>
      <c r="R56" s="34">
        <v>719945.31466068502</v>
      </c>
      <c r="S56" s="34">
        <v>719512.91820525005</v>
      </c>
      <c r="T56" s="34">
        <v>719549.03984202095</v>
      </c>
      <c r="U56" s="16">
        <v>-7.5954744648104298E-5</v>
      </c>
      <c r="V56" s="16">
        <v>-6.7673142377333096E-4</v>
      </c>
      <c r="W56" s="16">
        <v>-6.2652978154804104E-4</v>
      </c>
      <c r="X56" s="35">
        <v>1500.0625026042701</v>
      </c>
      <c r="Y56" s="35">
        <v>1499.9485700668399</v>
      </c>
      <c r="Z56" s="35">
        <v>1499.1746326268601</v>
      </c>
      <c r="AA56" s="35">
        <v>1499.2207066472499</v>
      </c>
      <c r="AB56" s="34">
        <v>719945.31466068502</v>
      </c>
      <c r="AC56" s="34">
        <v>719512.91820525005</v>
      </c>
      <c r="AD56" s="34">
        <v>719549.03984202095</v>
      </c>
      <c r="AE56" s="16">
        <v>-7.5954744648104298E-5</v>
      </c>
      <c r="AF56" s="16">
        <v>-6.7673142377333096E-4</v>
      </c>
      <c r="AG56" s="16">
        <v>-6.2652978154804104E-4</v>
      </c>
      <c r="AI56" s="12"/>
      <c r="AJ56">
        <f>IF($AG56&lt;AI$21,1,0)</f>
        <v>0</v>
      </c>
      <c r="AK56">
        <f>IF($AG56&gt;AI$22,1,0)</f>
        <v>1</v>
      </c>
      <c r="AL56">
        <f t="shared" si="2"/>
        <v>0</v>
      </c>
      <c r="AM56">
        <f>IF(F57+H57&gt;0,0,1)</f>
        <v>1</v>
      </c>
      <c r="AN56">
        <f t="shared" si="3"/>
        <v>0</v>
      </c>
      <c r="AO56" s="29">
        <f>AN56*D56</f>
        <v>0</v>
      </c>
      <c r="AP56" s="29">
        <f>-AN56*$E56</f>
        <v>0</v>
      </c>
      <c r="AQ56" s="29">
        <f t="shared" si="4"/>
        <v>0</v>
      </c>
      <c r="AR56" s="30">
        <f t="shared" si="5"/>
        <v>7.0817603292344196E-3</v>
      </c>
      <c r="AT56" s="12"/>
      <c r="AU56">
        <f>IF($AG56&gt;AT$21,1,0)</f>
        <v>0</v>
      </c>
      <c r="AV56">
        <f>IF($AG56&lt;AT$22,1,0)</f>
        <v>1</v>
      </c>
      <c r="AW56">
        <f t="shared" si="6"/>
        <v>0</v>
      </c>
      <c r="AX56">
        <f>IF(F57+H57&gt;0,0,1)</f>
        <v>1</v>
      </c>
      <c r="AY56">
        <f t="shared" si="7"/>
        <v>0</v>
      </c>
      <c r="AZ56" s="29">
        <f>-AY56*D56</f>
        <v>0</v>
      </c>
      <c r="BA56" s="29">
        <f>AY56*$E56</f>
        <v>0</v>
      </c>
      <c r="BB56" s="29">
        <f t="shared" si="8"/>
        <v>0</v>
      </c>
      <c r="BC56" s="30">
        <f t="shared" si="9"/>
        <v>0</v>
      </c>
      <c r="BE56" s="30">
        <f t="shared" si="10"/>
        <v>0</v>
      </c>
      <c r="BF56" s="30">
        <f t="shared" si="11"/>
        <v>7.0817603292344196E-3</v>
      </c>
      <c r="BH56" s="30"/>
    </row>
    <row r="57" spans="1:60" x14ac:dyDescent="0.25">
      <c r="A57" s="1">
        <v>46105</v>
      </c>
      <c r="B57" s="34">
        <v>479.33</v>
      </c>
      <c r="C57" s="34">
        <v>718250</v>
      </c>
      <c r="D57" s="16">
        <v>-1.3551408814086101E-3</v>
      </c>
      <c r="E57" s="16">
        <v>-2.4335141507021E-3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479.33</v>
      </c>
      <c r="M57" s="34">
        <v>718250</v>
      </c>
      <c r="N57" s="35">
        <v>1498.4457471887799</v>
      </c>
      <c r="O57" s="35">
        <v>1499.9485700668399</v>
      </c>
      <c r="P57" s="35">
        <v>1499.2640772206701</v>
      </c>
      <c r="Q57" s="35">
        <v>1499.20012126397</v>
      </c>
      <c r="R57" s="34">
        <v>718970.34809014096</v>
      </c>
      <c r="S57" s="34">
        <v>718599.37665703497</v>
      </c>
      <c r="T57" s="34">
        <v>718621.46131722699</v>
      </c>
      <c r="U57" s="16">
        <v>1.0024185246452399E-3</v>
      </c>
      <c r="V57" s="16">
        <v>4.8630937883552901E-4</v>
      </c>
      <c r="W57" s="16">
        <v>5.1704183081460503E-4</v>
      </c>
      <c r="X57" s="35">
        <v>1498.4457471887799</v>
      </c>
      <c r="Y57" s="35">
        <v>1499.9485700668399</v>
      </c>
      <c r="Z57" s="35">
        <v>1499.2640772206701</v>
      </c>
      <c r="AA57" s="35">
        <v>1499.20012126397</v>
      </c>
      <c r="AB57" s="34">
        <v>718970.34809014096</v>
      </c>
      <c r="AC57" s="34">
        <v>718599.37665703497</v>
      </c>
      <c r="AD57" s="34">
        <v>718621.46131722699</v>
      </c>
      <c r="AE57" s="16">
        <v>1.0024185246452399E-3</v>
      </c>
      <c r="AF57" s="16">
        <v>4.8630937883552901E-4</v>
      </c>
      <c r="AG57" s="16">
        <v>5.1704183081460503E-4</v>
      </c>
      <c r="AI57" s="12"/>
      <c r="AJ57">
        <f>IF($AG57&lt;AI$21,1,0)</f>
        <v>0</v>
      </c>
      <c r="AK57">
        <f>IF($AG57&gt;AI$22,1,0)</f>
        <v>1</v>
      </c>
      <c r="AL57">
        <f t="shared" si="2"/>
        <v>0</v>
      </c>
      <c r="AM57">
        <f>IF(F58+H58&gt;0,0,1)</f>
        <v>1</v>
      </c>
      <c r="AN57">
        <f t="shared" si="3"/>
        <v>0</v>
      </c>
      <c r="AO57" s="29">
        <f>AN57*D57</f>
        <v>0</v>
      </c>
      <c r="AP57" s="29">
        <f>-AN57*$E57</f>
        <v>0</v>
      </c>
      <c r="AQ57" s="29">
        <f t="shared" si="4"/>
        <v>0</v>
      </c>
      <c r="AR57" s="30">
        <f t="shared" si="5"/>
        <v>7.0817603292344196E-3</v>
      </c>
      <c r="AT57" s="12"/>
      <c r="AU57">
        <f>IF($AG57&gt;AT$21,1,0)</f>
        <v>0</v>
      </c>
      <c r="AV57">
        <f>IF($AG57&lt;AT$22,1,0)</f>
        <v>1</v>
      </c>
      <c r="AW57">
        <f t="shared" si="6"/>
        <v>0</v>
      </c>
      <c r="AX57">
        <f>IF(F58+H58&gt;0,0,1)</f>
        <v>1</v>
      </c>
      <c r="AY57">
        <f t="shared" si="7"/>
        <v>0</v>
      </c>
      <c r="AZ57" s="29">
        <f>-AY57*D57</f>
        <v>0</v>
      </c>
      <c r="BA57" s="29">
        <f>AY57*$E57</f>
        <v>0</v>
      </c>
      <c r="BB57" s="29">
        <f t="shared" si="8"/>
        <v>0</v>
      </c>
      <c r="BC57" s="30">
        <f t="shared" si="9"/>
        <v>0</v>
      </c>
      <c r="BE57" s="30">
        <f t="shared" si="10"/>
        <v>0</v>
      </c>
      <c r="BF57" s="30">
        <f t="shared" si="11"/>
        <v>7.0817603292344196E-3</v>
      </c>
      <c r="BH57" s="30"/>
    </row>
    <row r="58" spans="1:60" x14ac:dyDescent="0.25">
      <c r="A58" s="1">
        <v>46106</v>
      </c>
      <c r="B58" s="34">
        <v>476.19</v>
      </c>
      <c r="C58" s="34">
        <v>714976.81</v>
      </c>
      <c r="D58" s="16">
        <v>-6.5723612335219696E-3</v>
      </c>
      <c r="E58" s="16">
        <v>-4.5675892578042202E-3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476.19</v>
      </c>
      <c r="M58" s="34">
        <v>714976.81</v>
      </c>
      <c r="N58" s="35">
        <v>1501.4528024527999</v>
      </c>
      <c r="O58" s="35">
        <v>1499.9485700668399</v>
      </c>
      <c r="P58" s="35">
        <v>1499.48128242087</v>
      </c>
      <c r="Q58" s="35">
        <v>1499.17002651344</v>
      </c>
      <c r="R58" s="34">
        <v>714260.50958013104</v>
      </c>
      <c r="S58" s="34">
        <v>713934.56093171495</v>
      </c>
      <c r="T58" s="34">
        <v>713904.10574469203</v>
      </c>
      <c r="U58" s="16">
        <v>-1.0023534510723801E-3</v>
      </c>
      <c r="V58" s="16">
        <v>-1.45880181839396E-3</v>
      </c>
      <c r="W58" s="16">
        <v>-1.50146096152794E-3</v>
      </c>
      <c r="X58" s="35">
        <v>1501.4528024527999</v>
      </c>
      <c r="Y58" s="35">
        <v>1499.9485700668399</v>
      </c>
      <c r="Z58" s="35">
        <v>1499.48128242087</v>
      </c>
      <c r="AA58" s="35">
        <v>1499.17002651344</v>
      </c>
      <c r="AB58" s="34">
        <v>714260.50958013104</v>
      </c>
      <c r="AC58" s="34">
        <v>713934.56093171495</v>
      </c>
      <c r="AD58" s="34">
        <v>713904.10574469203</v>
      </c>
      <c r="AE58" s="16">
        <v>-1.0023534510723801E-3</v>
      </c>
      <c r="AF58" s="16">
        <v>-1.45880181839396E-3</v>
      </c>
      <c r="AG58" s="16">
        <v>-1.50146096152794E-3</v>
      </c>
      <c r="AI58" s="12"/>
      <c r="AJ58">
        <f>IF($AG58&lt;AI$21,1,0)</f>
        <v>0</v>
      </c>
      <c r="AK58">
        <f>IF($AG58&gt;AI$22,1,0)</f>
        <v>0</v>
      </c>
      <c r="AL58">
        <f t="shared" si="2"/>
        <v>0</v>
      </c>
      <c r="AM58">
        <f>IF(F59+H59&gt;0,0,1)</f>
        <v>1</v>
      </c>
      <c r="AN58">
        <f t="shared" si="3"/>
        <v>0</v>
      </c>
      <c r="AO58" s="29">
        <f>AN58*D58</f>
        <v>0</v>
      </c>
      <c r="AP58" s="29">
        <f>-AN58*$E58</f>
        <v>0</v>
      </c>
      <c r="AQ58" s="29">
        <f t="shared" si="4"/>
        <v>0</v>
      </c>
      <c r="AR58" s="30">
        <f t="shared" si="5"/>
        <v>7.0817603292344196E-3</v>
      </c>
      <c r="AT58" s="12"/>
      <c r="AU58">
        <f>IF($AG58&gt;AT$21,1,0)</f>
        <v>0</v>
      </c>
      <c r="AV58">
        <f>IF($AG58&lt;AT$22,1,0)</f>
        <v>1</v>
      </c>
      <c r="AW58">
        <f t="shared" si="6"/>
        <v>0</v>
      </c>
      <c r="AX58">
        <f>IF(F59+H59&gt;0,0,1)</f>
        <v>1</v>
      </c>
      <c r="AY58">
        <f t="shared" si="7"/>
        <v>0</v>
      </c>
      <c r="AZ58" s="29">
        <f>-AY58*D58</f>
        <v>0</v>
      </c>
      <c r="BA58" s="29">
        <f>AY58*$E58</f>
        <v>0</v>
      </c>
      <c r="BB58" s="29">
        <f t="shared" si="8"/>
        <v>0</v>
      </c>
      <c r="BC58" s="30">
        <f t="shared" si="9"/>
        <v>0</v>
      </c>
      <c r="BE58" s="30">
        <f t="shared" si="10"/>
        <v>0</v>
      </c>
      <c r="BF58" s="30">
        <f t="shared" si="11"/>
        <v>7.0817603292344196E-3</v>
      </c>
      <c r="BH58" s="30"/>
    </row>
    <row r="59" spans="1:60" x14ac:dyDescent="0.25">
      <c r="A59" s="1">
        <v>46107</v>
      </c>
      <c r="B59" s="34">
        <v>475.27</v>
      </c>
      <c r="C59" s="34">
        <v>712500</v>
      </c>
      <c r="D59" s="16">
        <v>-1.93387065504016E-3</v>
      </c>
      <c r="E59" s="16">
        <v>-3.4701964587890901E-3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475.27</v>
      </c>
      <c r="M59" s="34">
        <v>712500</v>
      </c>
      <c r="N59" s="35">
        <v>1499.14785279946</v>
      </c>
      <c r="O59" s="35">
        <v>1499.9485700668399</v>
      </c>
      <c r="P59" s="35">
        <v>1499.6420576579201</v>
      </c>
      <c r="Q59" s="35">
        <v>1499.2025181249001</v>
      </c>
      <c r="R59" s="34">
        <v>712880.55689567002</v>
      </c>
      <c r="S59" s="34">
        <v>712658.46909617097</v>
      </c>
      <c r="T59" s="34">
        <v>712510.53850104206</v>
      </c>
      <c r="U59" s="16">
        <v>5.3397235267658798E-4</v>
      </c>
      <c r="V59" s="16">
        <v>2.2238803650341101E-4</v>
      </c>
      <c r="W59" s="16">
        <v>1.4790769272334001E-5</v>
      </c>
      <c r="X59" s="35">
        <v>1499.14785279946</v>
      </c>
      <c r="Y59" s="35">
        <v>1499.9485700668399</v>
      </c>
      <c r="Z59" s="35">
        <v>1499.6420576579201</v>
      </c>
      <c r="AA59" s="35">
        <v>1499.2025181249001</v>
      </c>
      <c r="AB59" s="34">
        <v>712880.55689567002</v>
      </c>
      <c r="AC59" s="34">
        <v>712658.46909617097</v>
      </c>
      <c r="AD59" s="34">
        <v>712510.53850104206</v>
      </c>
      <c r="AE59" s="16">
        <v>5.3397235267658798E-4</v>
      </c>
      <c r="AF59" s="16">
        <v>2.2238803650341101E-4</v>
      </c>
      <c r="AG59" s="16">
        <v>1.4790769272334001E-5</v>
      </c>
      <c r="AI59" s="12"/>
      <c r="AJ59">
        <f>IF($AG59&lt;AI$21,1,0)</f>
        <v>0</v>
      </c>
      <c r="AK59">
        <f>IF($AG59&gt;AI$22,1,0)</f>
        <v>1</v>
      </c>
      <c r="AL59">
        <f t="shared" si="2"/>
        <v>0</v>
      </c>
      <c r="AM59">
        <f>IF(F60+H60&gt;0,0,1)</f>
        <v>1</v>
      </c>
      <c r="AN59">
        <f t="shared" si="3"/>
        <v>0</v>
      </c>
      <c r="AO59" s="29">
        <f>AN59*D59</f>
        <v>0</v>
      </c>
      <c r="AP59" s="29">
        <f>-AN59*$E59</f>
        <v>0</v>
      </c>
      <c r="AQ59" s="29">
        <f t="shared" si="4"/>
        <v>0</v>
      </c>
      <c r="AR59" s="30">
        <f t="shared" si="5"/>
        <v>7.0817603292344196E-3</v>
      </c>
      <c r="AT59" s="12"/>
      <c r="AU59">
        <f>IF($AG59&gt;AT$21,1,0)</f>
        <v>0</v>
      </c>
      <c r="AV59">
        <f>IF($AG59&lt;AT$22,1,0)</f>
        <v>1</v>
      </c>
      <c r="AW59">
        <f t="shared" si="6"/>
        <v>0</v>
      </c>
      <c r="AX59">
        <f>IF(F60+H60&gt;0,0,1)</f>
        <v>1</v>
      </c>
      <c r="AY59">
        <f t="shared" si="7"/>
        <v>0</v>
      </c>
      <c r="AZ59" s="29">
        <f>-AY59*D59</f>
        <v>0</v>
      </c>
      <c r="BA59" s="29">
        <f>AY59*$E59</f>
        <v>0</v>
      </c>
      <c r="BB59" s="29">
        <f t="shared" si="8"/>
        <v>0</v>
      </c>
      <c r="BC59" s="30">
        <f t="shared" si="9"/>
        <v>0</v>
      </c>
      <c r="BE59" s="30">
        <f t="shared" si="10"/>
        <v>0</v>
      </c>
      <c r="BF59" s="30">
        <f t="shared" si="11"/>
        <v>7.0817603292344196E-3</v>
      </c>
      <c r="BH59" s="30"/>
    </row>
    <row r="60" spans="1:60" x14ac:dyDescent="0.25">
      <c r="A60" s="1">
        <v>46108</v>
      </c>
      <c r="B60" s="34">
        <v>468.49</v>
      </c>
      <c r="C60" s="34">
        <v>703700</v>
      </c>
      <c r="D60" s="16">
        <v>-1.4368306863726799E-2</v>
      </c>
      <c r="E60" s="16">
        <v>-1.24277831703023E-2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468.49</v>
      </c>
      <c r="M60" s="34">
        <v>703700</v>
      </c>
      <c r="N60" s="35">
        <v>1502.0598091741499</v>
      </c>
      <c r="O60" s="35">
        <v>1499.9485700668399</v>
      </c>
      <c r="P60" s="35">
        <v>1499.89008906205</v>
      </c>
      <c r="Q60" s="35">
        <v>1499.3475919581999</v>
      </c>
      <c r="R60" s="34">
        <v>702710.90559061698</v>
      </c>
      <c r="S60" s="34">
        <v>702567.30759216298</v>
      </c>
      <c r="T60" s="34">
        <v>702361.38771633594</v>
      </c>
      <c r="U60" s="16">
        <v>-1.4065513407479E-3</v>
      </c>
      <c r="V60" s="16">
        <v>-1.61092083513915E-3</v>
      </c>
      <c r="W60" s="16">
        <v>-1.90406009265257E-3</v>
      </c>
      <c r="X60" s="35">
        <v>1502.0598091741499</v>
      </c>
      <c r="Y60" s="35">
        <v>1499.9485700668399</v>
      </c>
      <c r="Z60" s="35">
        <v>1499.89008906205</v>
      </c>
      <c r="AA60" s="35">
        <v>1499.3475919581999</v>
      </c>
      <c r="AB60" s="34">
        <v>702710.90559061698</v>
      </c>
      <c r="AC60" s="34">
        <v>702567.30759216298</v>
      </c>
      <c r="AD60" s="34">
        <v>702361.38771633594</v>
      </c>
      <c r="AE60" s="16">
        <v>-1.4065513407479E-3</v>
      </c>
      <c r="AF60" s="16">
        <v>-1.61092083513915E-3</v>
      </c>
      <c r="AG60" s="16">
        <v>-1.90406009265257E-3</v>
      </c>
      <c r="AI60" s="12"/>
      <c r="AJ60">
        <f>IF($AG60&lt;AI$21,1,0)</f>
        <v>0</v>
      </c>
      <c r="AK60">
        <f>IF($AG60&gt;AI$22,1,0)</f>
        <v>0</v>
      </c>
      <c r="AL60">
        <f t="shared" si="2"/>
        <v>0</v>
      </c>
      <c r="AM60">
        <f>IF(F61+H61&gt;0,0,1)</f>
        <v>1</v>
      </c>
      <c r="AN60">
        <f t="shared" si="3"/>
        <v>0</v>
      </c>
      <c r="AO60" s="29">
        <f>AN60*D60</f>
        <v>0</v>
      </c>
      <c r="AP60" s="29">
        <f>-AN60*$E60</f>
        <v>0</v>
      </c>
      <c r="AQ60" s="29">
        <f t="shared" si="4"/>
        <v>0</v>
      </c>
      <c r="AR60" s="30">
        <f t="shared" si="5"/>
        <v>7.0817603292344196E-3</v>
      </c>
      <c r="AT60" s="12"/>
      <c r="AU60">
        <f>IF($AG60&gt;AT$21,1,0)</f>
        <v>0</v>
      </c>
      <c r="AV60">
        <f>IF($AG60&lt;AT$22,1,0)</f>
        <v>1</v>
      </c>
      <c r="AW60">
        <f t="shared" si="6"/>
        <v>0</v>
      </c>
      <c r="AX60">
        <f>IF(F61+H61&gt;0,0,1)</f>
        <v>1</v>
      </c>
      <c r="AY60">
        <f t="shared" si="7"/>
        <v>0</v>
      </c>
      <c r="AZ60" s="29">
        <f>-AY60*D60</f>
        <v>0</v>
      </c>
      <c r="BA60" s="29">
        <f>AY60*$E60</f>
        <v>0</v>
      </c>
      <c r="BB60" s="29">
        <f t="shared" si="8"/>
        <v>0</v>
      </c>
      <c r="BC60" s="30">
        <f t="shared" si="9"/>
        <v>0</v>
      </c>
      <c r="BE60" s="30">
        <f t="shared" si="10"/>
        <v>0</v>
      </c>
      <c r="BF60" s="30">
        <f t="shared" si="11"/>
        <v>7.0817603292344196E-3</v>
      </c>
      <c r="BH60" s="30"/>
    </row>
    <row r="61" spans="1:60" x14ac:dyDescent="0.25">
      <c r="A61" s="1">
        <v>46111</v>
      </c>
      <c r="B61" s="34">
        <v>474.66</v>
      </c>
      <c r="C61" s="34">
        <v>712700</v>
      </c>
      <c r="D61" s="16">
        <v>1.30840015278673E-2</v>
      </c>
      <c r="E61" s="16">
        <v>1.27084455353218E-2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474.66</v>
      </c>
      <c r="M61" s="34">
        <v>712700</v>
      </c>
      <c r="N61" s="35">
        <v>1501.4958075253801</v>
      </c>
      <c r="O61" s="35">
        <v>1499.9485700668399</v>
      </c>
      <c r="P61" s="35">
        <v>1500.1036668889999</v>
      </c>
      <c r="Q61" s="35">
        <v>1499.44893543025</v>
      </c>
      <c r="R61" s="34">
        <v>711965.58826792904</v>
      </c>
      <c r="S61" s="34">
        <v>711937.82967419201</v>
      </c>
      <c r="T61" s="34">
        <v>711680.327998881</v>
      </c>
      <c r="U61" s="16">
        <v>-1.0309953482023999E-3</v>
      </c>
      <c r="V61" s="16">
        <v>-1.0699847816015701E-3</v>
      </c>
      <c r="W61" s="16">
        <v>-1.4317414460998401E-3</v>
      </c>
      <c r="X61" s="35">
        <v>1501.4958075253801</v>
      </c>
      <c r="Y61" s="35">
        <v>1499.9485700668399</v>
      </c>
      <c r="Z61" s="35">
        <v>1500.1036668889999</v>
      </c>
      <c r="AA61" s="35">
        <v>1499.44893543025</v>
      </c>
      <c r="AB61" s="34">
        <v>711965.58826792904</v>
      </c>
      <c r="AC61" s="34">
        <v>711937.82967419201</v>
      </c>
      <c r="AD61" s="34">
        <v>711680.327998881</v>
      </c>
      <c r="AE61" s="16">
        <v>-1.0309953482023999E-3</v>
      </c>
      <c r="AF61" s="16">
        <v>-1.0699847816015701E-3</v>
      </c>
      <c r="AG61" s="16">
        <v>-1.4317414460998401E-3</v>
      </c>
      <c r="AI61" s="12"/>
      <c r="AJ61">
        <f>IF($AG61&lt;AI$21,1,0)</f>
        <v>0</v>
      </c>
      <c r="AK61">
        <f>IF($AG61&gt;AI$22,1,0)</f>
        <v>0</v>
      </c>
      <c r="AL61">
        <f t="shared" si="2"/>
        <v>0</v>
      </c>
      <c r="AM61">
        <f>IF(F62+H62&gt;0,0,1)</f>
        <v>1</v>
      </c>
      <c r="AN61">
        <f t="shared" si="3"/>
        <v>0</v>
      </c>
      <c r="AO61" s="29">
        <f>AN61*D61</f>
        <v>0</v>
      </c>
      <c r="AP61" s="29">
        <f>-AN61*$E61</f>
        <v>0</v>
      </c>
      <c r="AQ61" s="29">
        <f t="shared" si="4"/>
        <v>0</v>
      </c>
      <c r="AR61" s="30">
        <f t="shared" si="5"/>
        <v>7.0817603292344196E-3</v>
      </c>
      <c r="AT61" s="12"/>
      <c r="AU61">
        <f>IF($AG61&gt;AT$21,1,0)</f>
        <v>0</v>
      </c>
      <c r="AV61">
        <f>IF($AG61&lt;AT$22,1,0)</f>
        <v>1</v>
      </c>
      <c r="AW61">
        <f t="shared" si="6"/>
        <v>0</v>
      </c>
      <c r="AX61">
        <f>IF(F62+H62&gt;0,0,1)</f>
        <v>1</v>
      </c>
      <c r="AY61">
        <f t="shared" si="7"/>
        <v>0</v>
      </c>
      <c r="AZ61" s="29">
        <f>-AY61*D61</f>
        <v>0</v>
      </c>
      <c r="BA61" s="29">
        <f>AY61*$E61</f>
        <v>0</v>
      </c>
      <c r="BB61" s="29">
        <f t="shared" si="8"/>
        <v>0</v>
      </c>
      <c r="BC61" s="30">
        <f t="shared" si="9"/>
        <v>0</v>
      </c>
      <c r="BE61" s="30">
        <f t="shared" si="10"/>
        <v>0</v>
      </c>
      <c r="BF61" s="30">
        <f t="shared" si="11"/>
        <v>7.0817603292344196E-3</v>
      </c>
      <c r="BH61" s="30"/>
    </row>
    <row r="62" spans="1:60" x14ac:dyDescent="0.25">
      <c r="A62" s="1">
        <v>46112</v>
      </c>
      <c r="B62" s="34">
        <v>479.2</v>
      </c>
      <c r="C62" s="34">
        <v>718140</v>
      </c>
      <c r="D62" s="16">
        <v>9.5192885398795706E-3</v>
      </c>
      <c r="E62" s="16">
        <v>7.60396160550913E-3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479.2</v>
      </c>
      <c r="M62" s="34">
        <v>718140</v>
      </c>
      <c r="N62" s="35">
        <v>1498.62270450751</v>
      </c>
      <c r="O62" s="35">
        <v>1499.9485700668399</v>
      </c>
      <c r="P62" s="35">
        <v>1500.0633062950501</v>
      </c>
      <c r="Q62" s="35">
        <v>1499.4834361201399</v>
      </c>
      <c r="R62" s="34">
        <v>718775.35477603297</v>
      </c>
      <c r="S62" s="34">
        <v>718849.67717321205</v>
      </c>
      <c r="T62" s="34">
        <v>718535.92985817697</v>
      </c>
      <c r="U62" s="16">
        <v>8.8433158616797302E-4</v>
      </c>
      <c r="V62" s="16">
        <v>9.8772766733550791E-4</v>
      </c>
      <c r="W62" s="16">
        <v>5.5117491700391896E-4</v>
      </c>
      <c r="X62" s="35">
        <v>1498.62270450751</v>
      </c>
      <c r="Y62" s="35">
        <v>1499.9485700668399</v>
      </c>
      <c r="Z62" s="35">
        <v>1500.0633062950501</v>
      </c>
      <c r="AA62" s="35">
        <v>1499.4834361201399</v>
      </c>
      <c r="AB62" s="34">
        <v>718775.35477603297</v>
      </c>
      <c r="AC62" s="34">
        <v>718849.67717321205</v>
      </c>
      <c r="AD62" s="34">
        <v>718535.92985817697</v>
      </c>
      <c r="AE62" s="16">
        <v>8.8433158616797302E-4</v>
      </c>
      <c r="AF62" s="16">
        <v>9.8772766733550791E-4</v>
      </c>
      <c r="AG62" s="16">
        <v>5.5117491700391896E-4</v>
      </c>
      <c r="AI62" s="12"/>
      <c r="AJ62">
        <f>IF($AG62&lt;AI$21,1,0)</f>
        <v>0</v>
      </c>
      <c r="AK62">
        <f>IF($AG62&gt;AI$22,1,0)</f>
        <v>1</v>
      </c>
      <c r="AL62">
        <f t="shared" si="2"/>
        <v>0</v>
      </c>
      <c r="AM62">
        <f>IF(F63+H63&gt;0,0,1)</f>
        <v>1</v>
      </c>
      <c r="AN62">
        <f t="shared" si="3"/>
        <v>0</v>
      </c>
      <c r="AO62" s="29">
        <f>AN62*D62</f>
        <v>0</v>
      </c>
      <c r="AP62" s="29">
        <f>-AN62*$E62</f>
        <v>0</v>
      </c>
      <c r="AQ62" s="29">
        <f t="shared" si="4"/>
        <v>0</v>
      </c>
      <c r="AR62" s="30">
        <f t="shared" si="5"/>
        <v>7.0817603292344196E-3</v>
      </c>
      <c r="AT62" s="12"/>
      <c r="AU62">
        <f>IF($AG62&gt;AT$21,1,0)</f>
        <v>0</v>
      </c>
      <c r="AV62">
        <f>IF($AG62&lt;AT$22,1,0)</f>
        <v>1</v>
      </c>
      <c r="AW62">
        <f t="shared" si="6"/>
        <v>0</v>
      </c>
      <c r="AX62">
        <f>IF(F63+H63&gt;0,0,1)</f>
        <v>1</v>
      </c>
      <c r="AY62">
        <f t="shared" si="7"/>
        <v>0</v>
      </c>
      <c r="AZ62" s="29">
        <f>-AY62*D62</f>
        <v>0</v>
      </c>
      <c r="BA62" s="29">
        <f>AY62*$E62</f>
        <v>0</v>
      </c>
      <c r="BB62" s="29">
        <f t="shared" si="8"/>
        <v>0</v>
      </c>
      <c r="BC62" s="30">
        <f t="shared" si="9"/>
        <v>0</v>
      </c>
      <c r="BE62" s="30">
        <f t="shared" si="10"/>
        <v>0</v>
      </c>
      <c r="BF62" s="30">
        <f t="shared" si="11"/>
        <v>7.0817603292344196E-3</v>
      </c>
      <c r="BH62" s="30"/>
    </row>
    <row r="63" spans="1:60" x14ac:dyDescent="0.25">
      <c r="A63" s="1">
        <v>46113</v>
      </c>
      <c r="B63" s="34">
        <v>478.5</v>
      </c>
      <c r="C63" s="34">
        <v>716258</v>
      </c>
      <c r="D63" s="16">
        <v>-1.46183590823057E-3</v>
      </c>
      <c r="E63" s="16">
        <v>-2.6240988622930899E-3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478.5</v>
      </c>
      <c r="M63" s="34">
        <v>716258</v>
      </c>
      <c r="N63" s="35">
        <v>1496.88192267502</v>
      </c>
      <c r="O63" s="35">
        <v>1499.9485700668399</v>
      </c>
      <c r="P63" s="35">
        <v>1499.7855563989499</v>
      </c>
      <c r="Q63" s="35">
        <v>1499.3801497971799</v>
      </c>
      <c r="R63" s="34">
        <v>717725.39077698602</v>
      </c>
      <c r="S63" s="34">
        <v>717780.29206218396</v>
      </c>
      <c r="T63" s="34">
        <v>717502.82418348896</v>
      </c>
      <c r="U63" s="16">
        <v>2.0465945402303302E-3</v>
      </c>
      <c r="V63" s="16">
        <v>2.1230850562643502E-3</v>
      </c>
      <c r="W63" s="16">
        <v>1.73644651922482E-3</v>
      </c>
      <c r="X63" s="35">
        <v>1496.88192267502</v>
      </c>
      <c r="Y63" s="35">
        <v>1499.9485700668399</v>
      </c>
      <c r="Z63" s="35">
        <v>1499.7855563989499</v>
      </c>
      <c r="AA63" s="35">
        <v>1499.3801497971799</v>
      </c>
      <c r="AB63" s="34">
        <v>717725.39077698602</v>
      </c>
      <c r="AC63" s="34">
        <v>717780.29206218396</v>
      </c>
      <c r="AD63" s="34">
        <v>717502.82418348896</v>
      </c>
      <c r="AE63" s="16">
        <v>2.0465945402303302E-3</v>
      </c>
      <c r="AF63" s="16">
        <v>2.1230850562643502E-3</v>
      </c>
      <c r="AG63" s="16">
        <v>1.73644651922482E-3</v>
      </c>
      <c r="AI63" s="12"/>
      <c r="AJ63">
        <f>IF($AG63&lt;AI$21,1,0)</f>
        <v>0</v>
      </c>
      <c r="AK63">
        <f>IF($AG63&gt;AI$22,1,0)</f>
        <v>1</v>
      </c>
      <c r="AL63">
        <f t="shared" si="2"/>
        <v>0</v>
      </c>
      <c r="AM63">
        <f>IF(F64+H64&gt;0,0,1)</f>
        <v>1</v>
      </c>
      <c r="AN63">
        <f t="shared" si="3"/>
        <v>0</v>
      </c>
      <c r="AO63" s="29">
        <f>AN63*D63</f>
        <v>0</v>
      </c>
      <c r="AP63" s="29">
        <f>-AN63*$E63</f>
        <v>0</v>
      </c>
      <c r="AQ63" s="29">
        <f t="shared" si="4"/>
        <v>0</v>
      </c>
      <c r="AR63" s="30">
        <f t="shared" si="5"/>
        <v>7.0817603292344196E-3</v>
      </c>
      <c r="AT63" s="12"/>
      <c r="AU63">
        <f>IF($AG63&gt;AT$21,1,0)</f>
        <v>0</v>
      </c>
      <c r="AV63">
        <f>IF($AG63&lt;AT$22,1,0)</f>
        <v>0</v>
      </c>
      <c r="AW63">
        <f t="shared" si="6"/>
        <v>0</v>
      </c>
      <c r="AX63">
        <f>IF(F64+H64&gt;0,0,1)</f>
        <v>1</v>
      </c>
      <c r="AY63">
        <f t="shared" si="7"/>
        <v>0</v>
      </c>
      <c r="AZ63" s="29">
        <f>-AY63*D63</f>
        <v>0</v>
      </c>
      <c r="BA63" s="29">
        <f>AY63*$E63</f>
        <v>0</v>
      </c>
      <c r="BB63" s="29">
        <f t="shared" si="8"/>
        <v>0</v>
      </c>
      <c r="BC63" s="30">
        <f t="shared" si="9"/>
        <v>0</v>
      </c>
      <c r="BE63" s="30">
        <f t="shared" si="10"/>
        <v>0</v>
      </c>
      <c r="BF63" s="30">
        <f t="shared" si="11"/>
        <v>7.0817603292344196E-3</v>
      </c>
      <c r="BH63" s="30"/>
    </row>
    <row r="64" spans="1:60" x14ac:dyDescent="0.25">
      <c r="A64" s="1">
        <v>46114</v>
      </c>
      <c r="B64" s="34">
        <v>477.35</v>
      </c>
      <c r="C64" s="34">
        <v>716300</v>
      </c>
      <c r="D64" s="16">
        <v>-2.4062364489666902E-3</v>
      </c>
      <c r="E64" s="16">
        <v>5.8636369364413898E-5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477.35</v>
      </c>
      <c r="M64" s="34">
        <v>716300</v>
      </c>
      <c r="N64" s="35">
        <v>1500.5760972033099</v>
      </c>
      <c r="O64" s="35">
        <v>1499.9485700668399</v>
      </c>
      <c r="P64" s="35">
        <v>1499.72732537823</v>
      </c>
      <c r="Q64" s="35">
        <v>1499.39397863816</v>
      </c>
      <c r="R64" s="34">
        <v>716000.44992140902</v>
      </c>
      <c r="S64" s="34">
        <v>715922.635347042</v>
      </c>
      <c r="T64" s="34">
        <v>715729.114505684</v>
      </c>
      <c r="U64" s="16">
        <v>-4.1827827810064398E-4</v>
      </c>
      <c r="V64" s="16">
        <v>-5.2696368899240195E-4</v>
      </c>
      <c r="W64" s="16">
        <v>-7.9730994122372695E-4</v>
      </c>
      <c r="X64" s="35">
        <v>1500.5760972033099</v>
      </c>
      <c r="Y64" s="35">
        <v>1499.9485700668399</v>
      </c>
      <c r="Z64" s="35">
        <v>1499.72732537823</v>
      </c>
      <c r="AA64" s="35">
        <v>1499.39397863816</v>
      </c>
      <c r="AB64" s="34">
        <v>716000.44992140902</v>
      </c>
      <c r="AC64" s="34">
        <v>715922.635347042</v>
      </c>
      <c r="AD64" s="34">
        <v>715729.114505684</v>
      </c>
      <c r="AE64" s="16">
        <v>-4.1827827810064398E-4</v>
      </c>
      <c r="AF64" s="16">
        <v>-5.2696368899240195E-4</v>
      </c>
      <c r="AG64" s="16">
        <v>-7.9730994122372695E-4</v>
      </c>
      <c r="AI64" s="12"/>
      <c r="AJ64">
        <f>IF($AG64&lt;AI$21,1,0)</f>
        <v>0</v>
      </c>
      <c r="AK64">
        <f>IF($AG64&gt;AI$22,1,0)</f>
        <v>1</v>
      </c>
      <c r="AL64">
        <f t="shared" si="2"/>
        <v>0</v>
      </c>
      <c r="AM64">
        <f>IF(F65+H65&gt;0,0,1)</f>
        <v>1</v>
      </c>
      <c r="AN64">
        <f t="shared" si="3"/>
        <v>0</v>
      </c>
      <c r="AO64" s="29">
        <f>AN64*D64</f>
        <v>0</v>
      </c>
      <c r="AP64" s="29">
        <f>-AN64*$E64</f>
        <v>0</v>
      </c>
      <c r="AQ64" s="29">
        <f t="shared" si="4"/>
        <v>0</v>
      </c>
      <c r="AR64" s="30">
        <f t="shared" si="5"/>
        <v>7.0817603292344196E-3</v>
      </c>
      <c r="AT64" s="12"/>
      <c r="AU64">
        <f>IF($AG64&gt;AT$21,1,0)</f>
        <v>0</v>
      </c>
      <c r="AV64">
        <f>IF($AG64&lt;AT$22,1,0)</f>
        <v>1</v>
      </c>
      <c r="AW64">
        <f t="shared" si="6"/>
        <v>0</v>
      </c>
      <c r="AX64">
        <f>IF(F65+H65&gt;0,0,1)</f>
        <v>1</v>
      </c>
      <c r="AY64">
        <f t="shared" si="7"/>
        <v>0</v>
      </c>
      <c r="AZ64" s="29">
        <f>-AY64*D64</f>
        <v>0</v>
      </c>
      <c r="BA64" s="29">
        <f>AY64*$E64</f>
        <v>0</v>
      </c>
      <c r="BB64" s="29">
        <f t="shared" si="8"/>
        <v>0</v>
      </c>
      <c r="BC64" s="30">
        <f t="shared" si="9"/>
        <v>0</v>
      </c>
      <c r="BE64" s="30">
        <f t="shared" si="10"/>
        <v>0</v>
      </c>
      <c r="BF64" s="30">
        <f t="shared" si="11"/>
        <v>7.0817603292344196E-3</v>
      </c>
      <c r="BH64" s="30"/>
    </row>
    <row r="65" spans="1:60" x14ac:dyDescent="0.25">
      <c r="A65" s="1">
        <v>46118</v>
      </c>
      <c r="B65" s="34">
        <v>476.38</v>
      </c>
      <c r="C65" s="34">
        <v>716500</v>
      </c>
      <c r="D65" s="16">
        <v>-2.0341193722738602E-3</v>
      </c>
      <c r="E65" s="16">
        <v>2.7917364782108802E-4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476.38</v>
      </c>
      <c r="M65" s="34">
        <v>716500</v>
      </c>
      <c r="N65" s="35">
        <v>1504.05138754775</v>
      </c>
      <c r="O65" s="35">
        <v>1499.9485700668399</v>
      </c>
      <c r="P65" s="35">
        <v>1500.2796633678399</v>
      </c>
      <c r="Q65" s="35">
        <v>1499.66368497494</v>
      </c>
      <c r="R65" s="34">
        <v>714545.49980844394</v>
      </c>
      <c r="S65" s="34">
        <v>714440.10326368501</v>
      </c>
      <c r="T65" s="34">
        <v>714281.30354364705</v>
      </c>
      <c r="U65" s="16">
        <v>-2.73157129819562E-3</v>
      </c>
      <c r="V65" s="16">
        <v>-2.8790836940144199E-3</v>
      </c>
      <c r="W65" s="16">
        <v>-3.1013799652616302E-3</v>
      </c>
      <c r="X65" s="35">
        <v>1504.05138754775</v>
      </c>
      <c r="Y65" s="35">
        <v>1499.9485700668399</v>
      </c>
      <c r="Z65" s="35">
        <v>1500.2796633678399</v>
      </c>
      <c r="AA65" s="35">
        <v>1499.66368497494</v>
      </c>
      <c r="AB65" s="34">
        <v>714545.49980844394</v>
      </c>
      <c r="AC65" s="34">
        <v>714440.10326368501</v>
      </c>
      <c r="AD65" s="34">
        <v>714281.30354364705</v>
      </c>
      <c r="AE65" s="16">
        <v>-2.73157129819562E-3</v>
      </c>
      <c r="AF65" s="16">
        <v>-2.8790836940144199E-3</v>
      </c>
      <c r="AG65" s="16">
        <v>-3.1013799652616302E-3</v>
      </c>
      <c r="AI65" s="12"/>
      <c r="AJ65">
        <f>IF($AG65&lt;AI$21,1,0)</f>
        <v>0</v>
      </c>
      <c r="AK65">
        <f>IF($AG65&gt;AI$22,1,0)</f>
        <v>0</v>
      </c>
      <c r="AL65">
        <f t="shared" si="2"/>
        <v>0</v>
      </c>
      <c r="AM65">
        <f>IF(F66+H66&gt;0,0,1)</f>
        <v>1</v>
      </c>
      <c r="AN65">
        <f t="shared" si="3"/>
        <v>0</v>
      </c>
      <c r="AO65" s="29">
        <f>AN65*D65</f>
        <v>0</v>
      </c>
      <c r="AP65" s="29">
        <f>-AN65*$E65</f>
        <v>0</v>
      </c>
      <c r="AQ65" s="29">
        <f t="shared" si="4"/>
        <v>0</v>
      </c>
      <c r="AR65" s="30">
        <f t="shared" si="5"/>
        <v>7.0817603292344196E-3</v>
      </c>
      <c r="AT65" s="12"/>
      <c r="AU65">
        <f>IF($AG65&gt;AT$21,1,0)</f>
        <v>0</v>
      </c>
      <c r="AV65">
        <f>IF($AG65&lt;AT$22,1,0)</f>
        <v>1</v>
      </c>
      <c r="AW65">
        <f t="shared" si="6"/>
        <v>0</v>
      </c>
      <c r="AX65">
        <f>IF(F66+H66&gt;0,0,1)</f>
        <v>1</v>
      </c>
      <c r="AY65">
        <f t="shared" si="7"/>
        <v>0</v>
      </c>
      <c r="AZ65" s="29">
        <f>-AY65*D65</f>
        <v>0</v>
      </c>
      <c r="BA65" s="29">
        <f>AY65*$E65</f>
        <v>0</v>
      </c>
      <c r="BB65" s="29">
        <f t="shared" si="8"/>
        <v>0</v>
      </c>
      <c r="BC65" s="30">
        <f t="shared" si="9"/>
        <v>0</v>
      </c>
      <c r="BE65" s="30">
        <f t="shared" si="10"/>
        <v>0</v>
      </c>
      <c r="BF65" s="30">
        <f t="shared" si="11"/>
        <v>7.0817603292344196E-3</v>
      </c>
      <c r="BH65" s="30"/>
    </row>
    <row r="66" spans="1:60" x14ac:dyDescent="0.25">
      <c r="A66" s="1">
        <v>46119</v>
      </c>
      <c r="B66" s="34">
        <v>478.08</v>
      </c>
      <c r="C66" s="34">
        <v>716880</v>
      </c>
      <c r="D66" s="16">
        <v>3.5622274326294399E-3</v>
      </c>
      <c r="E66" s="16">
        <v>5.3021530773757696E-4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478.08</v>
      </c>
      <c r="M66" s="34">
        <v>716880</v>
      </c>
      <c r="N66" s="35">
        <v>1499.4979919678699</v>
      </c>
      <c r="O66" s="35">
        <v>1499.9485700668399</v>
      </c>
      <c r="P66" s="35">
        <v>1500.2232123041999</v>
      </c>
      <c r="Q66" s="35">
        <v>1499.6989224655299</v>
      </c>
      <c r="R66" s="34">
        <v>717095.41237755795</v>
      </c>
      <c r="S66" s="34">
        <v>717253.70146290003</v>
      </c>
      <c r="T66" s="34">
        <v>716959.21451282199</v>
      </c>
      <c r="U66" s="16">
        <v>3.0044082669620202E-4</v>
      </c>
      <c r="V66" s="16">
        <v>5.2115290363398197E-4</v>
      </c>
      <c r="W66" s="16">
        <v>1.1049288107231299E-4</v>
      </c>
      <c r="X66" s="35">
        <v>1499.4979919678699</v>
      </c>
      <c r="Y66" s="35">
        <v>1499.9485700668399</v>
      </c>
      <c r="Z66" s="35">
        <v>1500.2232123041999</v>
      </c>
      <c r="AA66" s="35">
        <v>1499.6989224655299</v>
      </c>
      <c r="AB66" s="34">
        <v>717095.41237755795</v>
      </c>
      <c r="AC66" s="34">
        <v>717253.70146290003</v>
      </c>
      <c r="AD66" s="34">
        <v>716959.21451282199</v>
      </c>
      <c r="AE66" s="16">
        <v>3.0044082669620202E-4</v>
      </c>
      <c r="AF66" s="16">
        <v>5.2115290363398197E-4</v>
      </c>
      <c r="AG66" s="16">
        <v>1.1049288107231299E-4</v>
      </c>
      <c r="AI66" s="12"/>
      <c r="AJ66">
        <f>IF($AG66&lt;AI$21,1,0)</f>
        <v>0</v>
      </c>
      <c r="AK66">
        <f>IF($AG66&gt;AI$22,1,0)</f>
        <v>1</v>
      </c>
      <c r="AL66">
        <f t="shared" si="2"/>
        <v>0</v>
      </c>
      <c r="AM66">
        <f>IF(F67+H67&gt;0,0,1)</f>
        <v>1</v>
      </c>
      <c r="AN66">
        <f t="shared" si="3"/>
        <v>0</v>
      </c>
      <c r="AO66" s="29">
        <f>AN66*D66</f>
        <v>0</v>
      </c>
      <c r="AP66" s="29">
        <f>-AN66*$E66</f>
        <v>0</v>
      </c>
      <c r="AQ66" s="29">
        <f t="shared" si="4"/>
        <v>0</v>
      </c>
      <c r="AR66" s="30">
        <f t="shared" si="5"/>
        <v>7.0817603292344196E-3</v>
      </c>
      <c r="AT66" s="12"/>
      <c r="AU66">
        <f>IF($AG66&gt;AT$21,1,0)</f>
        <v>0</v>
      </c>
      <c r="AV66">
        <f>IF($AG66&lt;AT$22,1,0)</f>
        <v>1</v>
      </c>
      <c r="AW66">
        <f t="shared" si="6"/>
        <v>0</v>
      </c>
      <c r="AX66">
        <f>IF(F67+H67&gt;0,0,1)</f>
        <v>1</v>
      </c>
      <c r="AY66">
        <f t="shared" si="7"/>
        <v>0</v>
      </c>
      <c r="AZ66" s="29">
        <f>-AY66*D66</f>
        <v>0</v>
      </c>
      <c r="BA66" s="29">
        <f>AY66*$E66</f>
        <v>0</v>
      </c>
      <c r="BB66" s="29">
        <f t="shared" si="8"/>
        <v>0</v>
      </c>
      <c r="BC66" s="30">
        <f t="shared" si="9"/>
        <v>0</v>
      </c>
      <c r="BE66" s="30">
        <f t="shared" si="10"/>
        <v>0</v>
      </c>
      <c r="BF66" s="30">
        <f t="shared" si="11"/>
        <v>7.0817603292344196E-3</v>
      </c>
      <c r="BH66" s="30"/>
    </row>
    <row r="67" spans="1:60" x14ac:dyDescent="0.25">
      <c r="A67" s="1">
        <v>46120</v>
      </c>
      <c r="B67" s="34">
        <v>479.75</v>
      </c>
      <c r="C67" s="34">
        <v>720512</v>
      </c>
      <c r="D67" s="16">
        <v>3.4870523834114502E-3</v>
      </c>
      <c r="E67" s="16">
        <v>5.0536078255426897E-3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479.75</v>
      </c>
      <c r="M67" s="34">
        <v>720512</v>
      </c>
      <c r="N67" s="35">
        <v>1501.8488796248</v>
      </c>
      <c r="O67" s="35">
        <v>1499.9485700668399</v>
      </c>
      <c r="P67" s="35">
        <v>1500.5635255478001</v>
      </c>
      <c r="Q67" s="35">
        <v>1499.9138013842401</v>
      </c>
      <c r="R67" s="34">
        <v>719600.32648956904</v>
      </c>
      <c r="S67" s="34">
        <v>719732.08610294305</v>
      </c>
      <c r="T67" s="34">
        <v>719480.55805284099</v>
      </c>
      <c r="U67" s="16">
        <v>-1.26611461543479E-3</v>
      </c>
      <c r="V67" s="16">
        <v>-1.08303027357093E-3</v>
      </c>
      <c r="W67" s="16">
        <v>-1.43256590846742E-3</v>
      </c>
      <c r="X67" s="35">
        <v>1501.8488796248</v>
      </c>
      <c r="Y67" s="35">
        <v>1499.9485700668399</v>
      </c>
      <c r="Z67" s="35">
        <v>1500.5635255478001</v>
      </c>
      <c r="AA67" s="35">
        <v>1499.9138013842401</v>
      </c>
      <c r="AB67" s="34">
        <v>719600.32648956904</v>
      </c>
      <c r="AC67" s="34">
        <v>719732.08610294305</v>
      </c>
      <c r="AD67" s="34">
        <v>719480.55805284099</v>
      </c>
      <c r="AE67" s="16">
        <v>-1.26611461543479E-3</v>
      </c>
      <c r="AF67" s="16">
        <v>-1.08303027357093E-3</v>
      </c>
      <c r="AG67" s="16">
        <v>-1.43256590846742E-3</v>
      </c>
      <c r="AI67" s="12"/>
      <c r="AJ67">
        <f>IF($AG67&lt;AI$21,1,0)</f>
        <v>0</v>
      </c>
      <c r="AK67">
        <f>IF($AG67&gt;AI$22,1,0)</f>
        <v>0</v>
      </c>
      <c r="AL67">
        <f t="shared" si="2"/>
        <v>0</v>
      </c>
      <c r="AM67">
        <f>IF(F68+H68&gt;0,0,1)</f>
        <v>1</v>
      </c>
      <c r="AN67">
        <f t="shared" si="3"/>
        <v>0</v>
      </c>
      <c r="AO67" s="29">
        <f>AN67*D67</f>
        <v>0</v>
      </c>
      <c r="AP67" s="29">
        <f>-AN67*$E67</f>
        <v>0</v>
      </c>
      <c r="AQ67" s="29">
        <f t="shared" si="4"/>
        <v>0</v>
      </c>
      <c r="AR67" s="30">
        <f t="shared" si="5"/>
        <v>7.0817603292344196E-3</v>
      </c>
      <c r="AT67" s="12"/>
      <c r="AU67">
        <f>IF($AG67&gt;AT$21,1,0)</f>
        <v>0</v>
      </c>
      <c r="AV67">
        <f>IF($AG67&lt;AT$22,1,0)</f>
        <v>1</v>
      </c>
      <c r="AW67">
        <f t="shared" si="6"/>
        <v>0</v>
      </c>
      <c r="AX67">
        <f>IF(F68+H68&gt;0,0,1)</f>
        <v>1</v>
      </c>
      <c r="AY67">
        <f t="shared" si="7"/>
        <v>0</v>
      </c>
      <c r="AZ67" s="29">
        <f>-AY67*D67</f>
        <v>0</v>
      </c>
      <c r="BA67" s="29">
        <f>AY67*$E67</f>
        <v>0</v>
      </c>
      <c r="BB67" s="29">
        <f t="shared" si="8"/>
        <v>0</v>
      </c>
      <c r="BC67" s="30">
        <f t="shared" si="9"/>
        <v>0</v>
      </c>
      <c r="BE67" s="30">
        <f t="shared" si="10"/>
        <v>0</v>
      </c>
      <c r="BF67" s="30">
        <f t="shared" si="11"/>
        <v>7.0817603292344196E-3</v>
      </c>
      <c r="BH67" s="30"/>
    </row>
    <row r="68" spans="1:60" x14ac:dyDescent="0.25">
      <c r="A68" s="1">
        <v>46121</v>
      </c>
      <c r="B68" s="34">
        <v>485.2</v>
      </c>
      <c r="C68" s="34">
        <v>727880.56</v>
      </c>
      <c r="D68" s="16">
        <v>1.1296042182085599E-2</v>
      </c>
      <c r="E68" s="16">
        <v>1.01748984008258E-2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485.2</v>
      </c>
      <c r="M68" s="34">
        <v>727880.56</v>
      </c>
      <c r="N68" s="35">
        <v>1500.16603462489</v>
      </c>
      <c r="O68" s="35">
        <v>1499.9485700668399</v>
      </c>
      <c r="P68" s="35">
        <v>1500.43484876501</v>
      </c>
      <c r="Q68" s="35">
        <v>1499.9580655929401</v>
      </c>
      <c r="R68" s="34">
        <v>727775.04619643395</v>
      </c>
      <c r="S68" s="34">
        <v>728073.42259579594</v>
      </c>
      <c r="T68" s="34">
        <v>727758.176431634</v>
      </c>
      <c r="U68" s="16">
        <v>-1.4497083417480401E-4</v>
      </c>
      <c r="V68" s="16">
        <v>2.64929522814761E-4</v>
      </c>
      <c r="W68" s="16">
        <v>-1.6815101932981201E-4</v>
      </c>
      <c r="X68" s="35">
        <v>1500.16603462489</v>
      </c>
      <c r="Y68" s="35">
        <v>1499.9485700668399</v>
      </c>
      <c r="Z68" s="35">
        <v>1500.43484876501</v>
      </c>
      <c r="AA68" s="35">
        <v>1499.9580655929401</v>
      </c>
      <c r="AB68" s="34">
        <v>727775.04619643395</v>
      </c>
      <c r="AC68" s="34">
        <v>728073.42259579594</v>
      </c>
      <c r="AD68" s="34">
        <v>727758.176431634</v>
      </c>
      <c r="AE68" s="16">
        <v>-1.4497083417480401E-4</v>
      </c>
      <c r="AF68" s="16">
        <v>2.64929522814761E-4</v>
      </c>
      <c r="AG68" s="16">
        <v>-1.6815101932981201E-4</v>
      </c>
      <c r="AI68" s="12"/>
      <c r="AJ68">
        <f>IF($AG68&lt;AI$21,1,0)</f>
        <v>0</v>
      </c>
      <c r="AK68">
        <f>IF($AG68&gt;AI$22,1,0)</f>
        <v>1</v>
      </c>
      <c r="AL68">
        <f t="shared" si="2"/>
        <v>0</v>
      </c>
      <c r="AM68">
        <f>IF(F69+H69&gt;0,0,1)</f>
        <v>1</v>
      </c>
      <c r="AN68">
        <f t="shared" si="3"/>
        <v>0</v>
      </c>
      <c r="AO68" s="29">
        <f>AN68*D68</f>
        <v>0</v>
      </c>
      <c r="AP68" s="29">
        <f>-AN68*$E68</f>
        <v>0</v>
      </c>
      <c r="AQ68" s="29">
        <f t="shared" si="4"/>
        <v>0</v>
      </c>
      <c r="AR68" s="30">
        <f t="shared" si="5"/>
        <v>7.0817603292344196E-3</v>
      </c>
      <c r="AT68" s="12"/>
      <c r="AU68">
        <f>IF($AG68&gt;AT$21,1,0)</f>
        <v>0</v>
      </c>
      <c r="AV68">
        <f>IF($AG68&lt;AT$22,1,0)</f>
        <v>1</v>
      </c>
      <c r="AW68">
        <f t="shared" si="6"/>
        <v>0</v>
      </c>
      <c r="AX68">
        <f>IF(F69+H69&gt;0,0,1)</f>
        <v>1</v>
      </c>
      <c r="AY68">
        <f t="shared" si="7"/>
        <v>0</v>
      </c>
      <c r="AZ68" s="29">
        <f>-AY68*D68</f>
        <v>0</v>
      </c>
      <c r="BA68" s="29">
        <f>AY68*$E68</f>
        <v>0</v>
      </c>
      <c r="BB68" s="29">
        <f t="shared" si="8"/>
        <v>0</v>
      </c>
      <c r="BC68" s="30">
        <f t="shared" si="9"/>
        <v>0</v>
      </c>
      <c r="BE68" s="30">
        <f t="shared" si="10"/>
        <v>0</v>
      </c>
      <c r="BF68" s="30">
        <f t="shared" si="11"/>
        <v>7.0817603292344196E-3</v>
      </c>
      <c r="BH68" s="30"/>
    </row>
    <row r="69" spans="1:60" x14ac:dyDescent="0.25">
      <c r="A69" s="1">
        <v>46122</v>
      </c>
      <c r="B69" s="34">
        <v>479.9</v>
      </c>
      <c r="C69" s="34">
        <v>720002.88</v>
      </c>
      <c r="D69" s="16">
        <v>-1.09834282056952E-2</v>
      </c>
      <c r="E69" s="16">
        <v>-1.08817568002314E-2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479.9</v>
      </c>
      <c r="M69" s="34">
        <v>720002.88</v>
      </c>
      <c r="N69" s="35">
        <v>1500.3185663679899</v>
      </c>
      <c r="O69" s="35">
        <v>1499.9485700668399</v>
      </c>
      <c r="P69" s="35">
        <v>1500.5519201218699</v>
      </c>
      <c r="Q69" s="35">
        <v>1500.0969888899001</v>
      </c>
      <c r="R69" s="34">
        <v>719825.31877507898</v>
      </c>
      <c r="S69" s="34">
        <v>720058.68392233201</v>
      </c>
      <c r="T69" s="34">
        <v>719829.87567805604</v>
      </c>
      <c r="U69" s="16">
        <v>-2.4664223963869001E-4</v>
      </c>
      <c r="V69" s="16">
        <v>7.7502134294915497E-5</v>
      </c>
      <c r="W69" s="16">
        <v>-2.40311691888184E-4</v>
      </c>
      <c r="X69" s="35">
        <v>1500.3185663679899</v>
      </c>
      <c r="Y69" s="35">
        <v>1499.9485700668399</v>
      </c>
      <c r="Z69" s="35">
        <v>1500.5519201218699</v>
      </c>
      <c r="AA69" s="35">
        <v>1500.0969888899001</v>
      </c>
      <c r="AB69" s="34">
        <v>719825.31877507898</v>
      </c>
      <c r="AC69" s="34">
        <v>720058.68392233201</v>
      </c>
      <c r="AD69" s="34">
        <v>719829.87567805604</v>
      </c>
      <c r="AE69" s="16">
        <v>-2.4664223963869001E-4</v>
      </c>
      <c r="AF69" s="16">
        <v>7.7502134294915497E-5</v>
      </c>
      <c r="AG69" s="16">
        <v>-2.40311691888184E-4</v>
      </c>
      <c r="AI69" s="12"/>
      <c r="AJ69">
        <f>IF($AG69&lt;AI$21,1,0)</f>
        <v>0</v>
      </c>
      <c r="AK69">
        <f>IF($AG69&gt;AI$22,1,0)</f>
        <v>1</v>
      </c>
      <c r="AL69">
        <f t="shared" si="2"/>
        <v>0</v>
      </c>
      <c r="AM69">
        <f>IF(F70+H70&gt;0,0,1)</f>
        <v>1</v>
      </c>
      <c r="AN69">
        <f t="shared" si="3"/>
        <v>0</v>
      </c>
      <c r="AO69" s="29">
        <f>AN69*D69</f>
        <v>0</v>
      </c>
      <c r="AP69" s="29">
        <f>-AN69*$E69</f>
        <v>0</v>
      </c>
      <c r="AQ69" s="29">
        <f t="shared" si="4"/>
        <v>0</v>
      </c>
      <c r="AR69" s="30">
        <f t="shared" si="5"/>
        <v>7.0817603292344196E-3</v>
      </c>
      <c r="AT69" s="12"/>
      <c r="AU69">
        <f>IF($AG69&gt;AT$21,1,0)</f>
        <v>0</v>
      </c>
      <c r="AV69">
        <f>IF($AG69&lt;AT$22,1,0)</f>
        <v>1</v>
      </c>
      <c r="AW69">
        <f t="shared" si="6"/>
        <v>0</v>
      </c>
      <c r="AX69">
        <f>IF(F70+H70&gt;0,0,1)</f>
        <v>1</v>
      </c>
      <c r="AY69">
        <f t="shared" si="7"/>
        <v>0</v>
      </c>
      <c r="AZ69" s="29">
        <f>-AY69*D69</f>
        <v>0</v>
      </c>
      <c r="BA69" s="29">
        <f>AY69*$E69</f>
        <v>0</v>
      </c>
      <c r="BB69" s="29">
        <f t="shared" si="8"/>
        <v>0</v>
      </c>
      <c r="BC69" s="30">
        <f t="shared" si="9"/>
        <v>0</v>
      </c>
      <c r="BE69" s="30">
        <f t="shared" si="10"/>
        <v>0</v>
      </c>
      <c r="BF69" s="30">
        <f t="shared" si="11"/>
        <v>7.0817603292344196E-3</v>
      </c>
      <c r="BH69" s="30"/>
    </row>
    <row r="70" spans="1:60" x14ac:dyDescent="0.25">
      <c r="A70" s="1">
        <v>46125</v>
      </c>
      <c r="B70" s="34">
        <v>480.19</v>
      </c>
      <c r="C70" s="34">
        <v>720750</v>
      </c>
      <c r="D70" s="16">
        <v>6.0411004972365395E-4</v>
      </c>
      <c r="E70" s="16">
        <v>1.03712451641061E-3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480.19</v>
      </c>
      <c r="M70" s="34">
        <v>720750</v>
      </c>
      <c r="N70" s="35">
        <v>1500.9683666881799</v>
      </c>
      <c r="O70" s="35">
        <v>1499.9485700668399</v>
      </c>
      <c r="P70" s="35">
        <v>1500.44277587327</v>
      </c>
      <c r="Q70" s="35">
        <v>1500.1664324676599</v>
      </c>
      <c r="R70" s="34">
        <v>720260.30386039906</v>
      </c>
      <c r="S70" s="34">
        <v>720550.02652332105</v>
      </c>
      <c r="T70" s="34">
        <v>720331.57309504098</v>
      </c>
      <c r="U70" s="16">
        <v>-6.7965670632540295E-4</v>
      </c>
      <c r="V70" s="16">
        <v>-2.7749042431389302E-4</v>
      </c>
      <c r="W70" s="16">
        <v>-5.80712326810027E-4</v>
      </c>
      <c r="X70" s="35">
        <v>1500.9683666881799</v>
      </c>
      <c r="Y70" s="35">
        <v>1499.9485700668399</v>
      </c>
      <c r="Z70" s="35">
        <v>1500.44277587327</v>
      </c>
      <c r="AA70" s="35">
        <v>1500.1664324676599</v>
      </c>
      <c r="AB70" s="34">
        <v>720260.30386039906</v>
      </c>
      <c r="AC70" s="34">
        <v>720550.02652332105</v>
      </c>
      <c r="AD70" s="34">
        <v>720331.57309504098</v>
      </c>
      <c r="AE70" s="16">
        <v>-6.7965670632540295E-4</v>
      </c>
      <c r="AF70" s="16">
        <v>-2.7749042431389302E-4</v>
      </c>
      <c r="AG70" s="16">
        <v>-5.80712326810027E-4</v>
      </c>
      <c r="AI70" s="12"/>
      <c r="AJ70">
        <f>IF($AG70&lt;AI$21,1,0)</f>
        <v>0</v>
      </c>
      <c r="AK70">
        <f>IF($AG70&gt;AI$22,1,0)</f>
        <v>1</v>
      </c>
      <c r="AL70">
        <f t="shared" si="2"/>
        <v>0</v>
      </c>
      <c r="AM70">
        <f>IF(F71+H71&gt;0,0,1)</f>
        <v>1</v>
      </c>
      <c r="AN70">
        <f t="shared" si="3"/>
        <v>0</v>
      </c>
      <c r="AO70" s="29">
        <f>AN70*D70</f>
        <v>0</v>
      </c>
      <c r="AP70" s="29">
        <f>-AN70*$E70</f>
        <v>0</v>
      </c>
      <c r="AQ70" s="29">
        <f t="shared" si="4"/>
        <v>0</v>
      </c>
      <c r="AR70" s="30">
        <f t="shared" si="5"/>
        <v>7.0817603292344196E-3</v>
      </c>
      <c r="AT70" s="12"/>
      <c r="AU70">
        <f>IF($AG70&gt;AT$21,1,0)</f>
        <v>0</v>
      </c>
      <c r="AV70">
        <f>IF($AG70&lt;AT$22,1,0)</f>
        <v>1</v>
      </c>
      <c r="AW70">
        <f t="shared" si="6"/>
        <v>0</v>
      </c>
      <c r="AX70">
        <f>IF(F71+H71&gt;0,0,1)</f>
        <v>1</v>
      </c>
      <c r="AY70">
        <f t="shared" si="7"/>
        <v>0</v>
      </c>
      <c r="AZ70" s="29">
        <f>-AY70*D70</f>
        <v>0</v>
      </c>
      <c r="BA70" s="29">
        <f>AY70*$E70</f>
        <v>0</v>
      </c>
      <c r="BB70" s="29">
        <f t="shared" si="8"/>
        <v>0</v>
      </c>
      <c r="BC70" s="30">
        <f t="shared" si="9"/>
        <v>0</v>
      </c>
      <c r="BE70" s="30">
        <f t="shared" si="10"/>
        <v>0</v>
      </c>
      <c r="BF70" s="30">
        <f t="shared" si="11"/>
        <v>7.0817603292344196E-3</v>
      </c>
      <c r="BH70" s="30"/>
    </row>
    <row r="71" spans="1:60" x14ac:dyDescent="0.25">
      <c r="A71" s="1">
        <v>46126</v>
      </c>
      <c r="B71" s="34">
        <v>477.54</v>
      </c>
      <c r="C71" s="34">
        <v>716783.19</v>
      </c>
      <c r="D71" s="16">
        <v>-5.5339328681105098E-3</v>
      </c>
      <c r="E71" s="16">
        <v>-5.5189265836733002E-3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477.54</v>
      </c>
      <c r="M71" s="34">
        <v>716783.19</v>
      </c>
      <c r="N71" s="35">
        <v>1500.99089081542</v>
      </c>
      <c r="O71" s="35">
        <v>1499.9485700668399</v>
      </c>
      <c r="P71" s="35">
        <v>1500.39228420227</v>
      </c>
      <c r="Q71" s="35">
        <v>1500.24797554564</v>
      </c>
      <c r="R71" s="34">
        <v>716285.44014972204</v>
      </c>
      <c r="S71" s="34">
        <v>716521.44319052296</v>
      </c>
      <c r="T71" s="34">
        <v>716389.47816060705</v>
      </c>
      <c r="U71" s="16">
        <v>-6.9466299076262697E-4</v>
      </c>
      <c r="V71" s="16">
        <v>-3.6523542354507802E-4</v>
      </c>
      <c r="W71" s="16">
        <v>-5.4942695746768499E-4</v>
      </c>
      <c r="X71" s="35">
        <v>1500.99089081542</v>
      </c>
      <c r="Y71" s="35">
        <v>1499.9485700668399</v>
      </c>
      <c r="Z71" s="35">
        <v>1500.39228420227</v>
      </c>
      <c r="AA71" s="35">
        <v>1500.24797554564</v>
      </c>
      <c r="AB71" s="34">
        <v>716285.44014972204</v>
      </c>
      <c r="AC71" s="34">
        <v>716521.44319052296</v>
      </c>
      <c r="AD71" s="34">
        <v>716389.47816060705</v>
      </c>
      <c r="AE71" s="16">
        <v>-6.9466299076262697E-4</v>
      </c>
      <c r="AF71" s="16">
        <v>-3.6523542354507802E-4</v>
      </c>
      <c r="AG71" s="16">
        <v>-5.4942695746768499E-4</v>
      </c>
      <c r="AI71" s="12"/>
      <c r="AJ71">
        <f>IF($AG71&lt;AI$21,1,0)</f>
        <v>0</v>
      </c>
      <c r="AK71">
        <f>IF($AG71&gt;AI$22,1,0)</f>
        <v>1</v>
      </c>
      <c r="AL71">
        <f t="shared" si="2"/>
        <v>0</v>
      </c>
      <c r="AM71">
        <f>IF(F72+H72&gt;0,0,1)</f>
        <v>1</v>
      </c>
      <c r="AN71">
        <f t="shared" si="3"/>
        <v>0</v>
      </c>
      <c r="AO71" s="29">
        <f>AN71*D71</f>
        <v>0</v>
      </c>
      <c r="AP71" s="29">
        <f>-AN71*$E71</f>
        <v>0</v>
      </c>
      <c r="AQ71" s="29">
        <f t="shared" si="4"/>
        <v>0</v>
      </c>
      <c r="AR71" s="30">
        <f t="shared" si="5"/>
        <v>7.0817603292344196E-3</v>
      </c>
      <c r="AT71" s="12"/>
      <c r="AU71">
        <f>IF($AG71&gt;AT$21,1,0)</f>
        <v>0</v>
      </c>
      <c r="AV71">
        <f>IF($AG71&lt;AT$22,1,0)</f>
        <v>1</v>
      </c>
      <c r="AW71">
        <f t="shared" si="6"/>
        <v>0</v>
      </c>
      <c r="AX71">
        <f>IF(F72+H72&gt;0,0,1)</f>
        <v>1</v>
      </c>
      <c r="AY71">
        <f t="shared" si="7"/>
        <v>0</v>
      </c>
      <c r="AZ71" s="29">
        <f>-AY71*D71</f>
        <v>0</v>
      </c>
      <c r="BA71" s="29">
        <f>AY71*$E71</f>
        <v>0</v>
      </c>
      <c r="BB71" s="29">
        <f t="shared" si="8"/>
        <v>0</v>
      </c>
      <c r="BC71" s="30">
        <f t="shared" si="9"/>
        <v>0</v>
      </c>
      <c r="BE71" s="30">
        <f t="shared" si="10"/>
        <v>0</v>
      </c>
      <c r="BF71" s="30">
        <f t="shared" si="11"/>
        <v>7.0817603292344196E-3</v>
      </c>
      <c r="BH71" s="30"/>
    </row>
    <row r="72" spans="1:60" x14ac:dyDescent="0.25">
      <c r="A72" s="1">
        <v>46127</v>
      </c>
      <c r="B72" s="34">
        <v>474.09</v>
      </c>
      <c r="C72" s="34">
        <v>711234.5</v>
      </c>
      <c r="D72" s="16">
        <v>-7.2507489566909604E-3</v>
      </c>
      <c r="E72" s="16">
        <v>-7.7712173503892501E-3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474.09</v>
      </c>
      <c r="M72" s="34">
        <v>711234.5</v>
      </c>
      <c r="N72" s="35">
        <v>1500.2098757619799</v>
      </c>
      <c r="O72" s="35">
        <v>1499.9485700668399</v>
      </c>
      <c r="P72" s="35">
        <v>1500.5510013277201</v>
      </c>
      <c r="Q72" s="35">
        <v>1500.30715381139</v>
      </c>
      <c r="R72" s="34">
        <v>711110.61758299102</v>
      </c>
      <c r="S72" s="34">
        <v>711320.97801745799</v>
      </c>
      <c r="T72" s="34">
        <v>711252.56272643397</v>
      </c>
      <c r="U72" s="16">
        <v>-1.7419459706436401E-4</v>
      </c>
      <c r="V72" s="16">
        <v>1.2158122322958101E-4</v>
      </c>
      <c r="W72" s="16">
        <v>2.5395979911993999E-5</v>
      </c>
      <c r="X72" s="35">
        <v>1500.2098757619799</v>
      </c>
      <c r="Y72" s="35">
        <v>1499.9485700668399</v>
      </c>
      <c r="Z72" s="35">
        <v>1500.5510013277201</v>
      </c>
      <c r="AA72" s="35">
        <v>1500.30715381139</v>
      </c>
      <c r="AB72" s="34">
        <v>711110.61758299102</v>
      </c>
      <c r="AC72" s="34">
        <v>711320.97801745799</v>
      </c>
      <c r="AD72" s="34">
        <v>711252.56272643397</v>
      </c>
      <c r="AE72" s="16">
        <v>-1.7419459706436401E-4</v>
      </c>
      <c r="AF72" s="16">
        <v>1.2158122322958101E-4</v>
      </c>
      <c r="AG72" s="16">
        <v>2.5395979911993999E-5</v>
      </c>
      <c r="AI72" s="12"/>
      <c r="AJ72">
        <f>IF($AG72&lt;AI$21,1,0)</f>
        <v>0</v>
      </c>
      <c r="AK72">
        <f>IF($AG72&gt;AI$22,1,0)</f>
        <v>1</v>
      </c>
      <c r="AL72">
        <f t="shared" si="2"/>
        <v>0</v>
      </c>
      <c r="AM72">
        <f>IF(F73+H73&gt;0,0,1)</f>
        <v>1</v>
      </c>
      <c r="AN72">
        <f t="shared" si="3"/>
        <v>0</v>
      </c>
      <c r="AO72" s="29">
        <f>AN72*D72</f>
        <v>0</v>
      </c>
      <c r="AP72" s="29">
        <f>-AN72*$E72</f>
        <v>0</v>
      </c>
      <c r="AQ72" s="29">
        <f t="shared" si="4"/>
        <v>0</v>
      </c>
      <c r="AR72" s="30">
        <f t="shared" si="5"/>
        <v>7.0817603292344196E-3</v>
      </c>
      <c r="AT72" s="12"/>
      <c r="AU72">
        <f>IF($AG72&gt;AT$21,1,0)</f>
        <v>0</v>
      </c>
      <c r="AV72">
        <f>IF($AG72&lt;AT$22,1,0)</f>
        <v>1</v>
      </c>
      <c r="AW72">
        <f t="shared" si="6"/>
        <v>0</v>
      </c>
      <c r="AX72">
        <f>IF(F73+H73&gt;0,0,1)</f>
        <v>1</v>
      </c>
      <c r="AY72">
        <f t="shared" si="7"/>
        <v>0</v>
      </c>
      <c r="AZ72" s="29">
        <f>-AY72*D72</f>
        <v>0</v>
      </c>
      <c r="BA72" s="29">
        <f>AY72*$E72</f>
        <v>0</v>
      </c>
      <c r="BB72" s="29">
        <f t="shared" si="8"/>
        <v>0</v>
      </c>
      <c r="BC72" s="30">
        <f t="shared" si="9"/>
        <v>0</v>
      </c>
      <c r="BE72" s="30">
        <f t="shared" si="10"/>
        <v>0</v>
      </c>
      <c r="BF72" s="30">
        <f t="shared" si="11"/>
        <v>7.0817603292344196E-3</v>
      </c>
      <c r="BH72" s="30"/>
    </row>
    <row r="73" spans="1:60" x14ac:dyDescent="0.25">
      <c r="A73" s="1">
        <v>46128</v>
      </c>
      <c r="B73" s="34">
        <v>475.12</v>
      </c>
      <c r="C73" s="34">
        <v>712700</v>
      </c>
      <c r="D73" s="16">
        <v>2.1702266184827099E-3</v>
      </c>
      <c r="E73" s="16">
        <v>2.0583819233761401E-3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475.12</v>
      </c>
      <c r="M73" s="34">
        <v>712700</v>
      </c>
      <c r="N73" s="35">
        <v>1500.04209462872</v>
      </c>
      <c r="O73" s="35">
        <v>1499.9485700668399</v>
      </c>
      <c r="P73" s="35">
        <v>1500.8670185230901</v>
      </c>
      <c r="Q73" s="35">
        <v>1500.32628746102</v>
      </c>
      <c r="R73" s="34">
        <v>712655.56461015996</v>
      </c>
      <c r="S73" s="34">
        <v>712941.79175082897</v>
      </c>
      <c r="T73" s="34">
        <v>712825.93491886801</v>
      </c>
      <c r="U73" s="16">
        <v>-6.2349901957743095E-5</v>
      </c>
      <c r="V73" s="16">
        <v>3.3920407573149401E-4</v>
      </c>
      <c r="W73" s="16">
        <v>1.7668555318549101E-4</v>
      </c>
      <c r="X73" s="35">
        <v>1500.04209462872</v>
      </c>
      <c r="Y73" s="35">
        <v>1499.9485700668399</v>
      </c>
      <c r="Z73" s="35">
        <v>1500.8670185230901</v>
      </c>
      <c r="AA73" s="35">
        <v>1500.32628746102</v>
      </c>
      <c r="AB73" s="34">
        <v>712655.56461015996</v>
      </c>
      <c r="AC73" s="34">
        <v>712941.79175082897</v>
      </c>
      <c r="AD73" s="34">
        <v>712825.93491886801</v>
      </c>
      <c r="AE73" s="16">
        <v>-6.2349901957743095E-5</v>
      </c>
      <c r="AF73" s="16">
        <v>3.3920407573149401E-4</v>
      </c>
      <c r="AG73" s="16">
        <v>1.7668555318549101E-4</v>
      </c>
      <c r="AI73" s="12"/>
      <c r="AJ73">
        <f>IF($AG73&lt;AI$21,1,0)</f>
        <v>0</v>
      </c>
      <c r="AK73">
        <f>IF($AG73&gt;AI$22,1,0)</f>
        <v>1</v>
      </c>
      <c r="AL73">
        <f t="shared" si="2"/>
        <v>0</v>
      </c>
      <c r="AM73">
        <f>IF(F74+H74&gt;0,0,1)</f>
        <v>1</v>
      </c>
      <c r="AN73">
        <f t="shared" si="3"/>
        <v>0</v>
      </c>
      <c r="AO73" s="29">
        <f>AN73*D73</f>
        <v>0</v>
      </c>
      <c r="AP73" s="29">
        <f>-AN73*$E73</f>
        <v>0</v>
      </c>
      <c r="AQ73" s="29">
        <f t="shared" si="4"/>
        <v>0</v>
      </c>
      <c r="AR73" s="30">
        <f t="shared" si="5"/>
        <v>7.0817603292344196E-3</v>
      </c>
      <c r="AT73" s="12"/>
      <c r="AU73">
        <f>IF($AG73&gt;AT$21,1,0)</f>
        <v>0</v>
      </c>
      <c r="AV73">
        <f>IF($AG73&lt;AT$22,1,0)</f>
        <v>1</v>
      </c>
      <c r="AW73">
        <f t="shared" si="6"/>
        <v>0</v>
      </c>
      <c r="AX73">
        <f>IF(F74+H74&gt;0,0,1)</f>
        <v>1</v>
      </c>
      <c r="AY73">
        <f t="shared" si="7"/>
        <v>0</v>
      </c>
      <c r="AZ73" s="29">
        <f>-AY73*D73</f>
        <v>0</v>
      </c>
      <c r="BA73" s="29">
        <f>AY73*$E73</f>
        <v>0</v>
      </c>
      <c r="BB73" s="29">
        <f t="shared" si="8"/>
        <v>0</v>
      </c>
      <c r="BC73" s="30">
        <f t="shared" si="9"/>
        <v>0</v>
      </c>
      <c r="BE73" s="30">
        <f t="shared" si="10"/>
        <v>0</v>
      </c>
      <c r="BF73" s="30">
        <f t="shared" si="11"/>
        <v>7.0817603292344196E-3</v>
      </c>
      <c r="BH73" s="30"/>
    </row>
    <row r="74" spans="1:60" x14ac:dyDescent="0.25">
      <c r="A74" s="1">
        <v>46129</v>
      </c>
      <c r="B74" s="34">
        <v>474.58</v>
      </c>
      <c r="C74" s="34">
        <v>711558.81</v>
      </c>
      <c r="D74" s="16">
        <v>-1.1372013439933399E-3</v>
      </c>
      <c r="E74" s="16">
        <v>-1.6025040339633101E-3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474.58</v>
      </c>
      <c r="M74" s="34">
        <v>711558.81</v>
      </c>
      <c r="N74" s="35">
        <v>1499.3442833663401</v>
      </c>
      <c r="O74" s="35">
        <v>1499.9485700668399</v>
      </c>
      <c r="P74" s="35">
        <v>1500.7438371393901</v>
      </c>
      <c r="Q74" s="35">
        <v>1500.23558125881</v>
      </c>
      <c r="R74" s="34">
        <v>711845.59238232404</v>
      </c>
      <c r="S74" s="34">
        <v>712281.46965068998</v>
      </c>
      <c r="T74" s="34">
        <v>712024.849503253</v>
      </c>
      <c r="U74" s="16">
        <v>4.0295278801214402E-4</v>
      </c>
      <c r="V74" s="16">
        <v>1.0150853618502301E-3</v>
      </c>
      <c r="W74" s="16">
        <v>6.54741316804781E-4</v>
      </c>
      <c r="X74" s="35">
        <v>1499.3442833663401</v>
      </c>
      <c r="Y74" s="35">
        <v>1499.9485700668399</v>
      </c>
      <c r="Z74" s="35">
        <v>1500.7438371393901</v>
      </c>
      <c r="AA74" s="35">
        <v>1500.23558125881</v>
      </c>
      <c r="AB74" s="34">
        <v>711845.59238232404</v>
      </c>
      <c r="AC74" s="34">
        <v>712281.46965068998</v>
      </c>
      <c r="AD74" s="34">
        <v>712024.849503253</v>
      </c>
      <c r="AE74" s="16">
        <v>4.0295278801214402E-4</v>
      </c>
      <c r="AF74" s="16">
        <v>1.0150853618502301E-3</v>
      </c>
      <c r="AG74" s="16">
        <v>6.54741316804781E-4</v>
      </c>
      <c r="AI74" s="12"/>
      <c r="AJ74">
        <f>IF($AG74&lt;AI$21,1,0)</f>
        <v>0</v>
      </c>
      <c r="AK74">
        <f>IF($AG74&gt;AI$22,1,0)</f>
        <v>1</v>
      </c>
      <c r="AL74">
        <f t="shared" si="2"/>
        <v>0</v>
      </c>
      <c r="AM74">
        <f>IF(F75+H75&gt;0,0,1)</f>
        <v>1</v>
      </c>
      <c r="AN74">
        <f t="shared" si="3"/>
        <v>0</v>
      </c>
      <c r="AO74" s="29">
        <f>AN74*D74</f>
        <v>0</v>
      </c>
      <c r="AP74" s="29">
        <f>-AN74*$E74</f>
        <v>0</v>
      </c>
      <c r="AQ74" s="29">
        <f t="shared" si="4"/>
        <v>0</v>
      </c>
      <c r="AR74" s="30">
        <f t="shared" si="5"/>
        <v>7.0817603292344196E-3</v>
      </c>
      <c r="AT74" s="12"/>
      <c r="AU74">
        <f>IF($AG74&gt;AT$21,1,0)</f>
        <v>0</v>
      </c>
      <c r="AV74">
        <f>IF($AG74&lt;AT$22,1,0)</f>
        <v>1</v>
      </c>
      <c r="AW74">
        <f t="shared" si="6"/>
        <v>0</v>
      </c>
      <c r="AX74">
        <f>IF(F75+H75&gt;0,0,1)</f>
        <v>1</v>
      </c>
      <c r="AY74">
        <f t="shared" si="7"/>
        <v>0</v>
      </c>
      <c r="AZ74" s="29">
        <f>-AY74*D74</f>
        <v>0</v>
      </c>
      <c r="BA74" s="29">
        <f>AY74*$E74</f>
        <v>0</v>
      </c>
      <c r="BB74" s="29">
        <f t="shared" si="8"/>
        <v>0</v>
      </c>
      <c r="BC74" s="30">
        <f t="shared" si="9"/>
        <v>0</v>
      </c>
      <c r="BE74" s="30">
        <f t="shared" si="10"/>
        <v>0</v>
      </c>
      <c r="BF74" s="30">
        <f t="shared" si="11"/>
        <v>7.0817603292344196E-3</v>
      </c>
      <c r="BH74" s="30"/>
    </row>
    <row r="75" spans="1:60" x14ac:dyDescent="0.25">
      <c r="A75" s="1">
        <v>46132</v>
      </c>
      <c r="B75" s="34">
        <v>472.08</v>
      </c>
      <c r="C75" s="34">
        <v>706750</v>
      </c>
      <c r="D75" s="16">
        <v>-5.2817396146982E-3</v>
      </c>
      <c r="E75" s="16">
        <v>-6.7810739001619696E-3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472.08</v>
      </c>
      <c r="M75" s="34">
        <v>706750</v>
      </c>
      <c r="N75" s="35">
        <v>1497.0979495000799</v>
      </c>
      <c r="O75" s="35">
        <v>1499.9485700668399</v>
      </c>
      <c r="P75" s="35">
        <v>1500.0484933346299</v>
      </c>
      <c r="Q75" s="35">
        <v>1500.16407835123</v>
      </c>
      <c r="R75" s="34">
        <v>708095.72095715697</v>
      </c>
      <c r="S75" s="34">
        <v>708471.15063676704</v>
      </c>
      <c r="T75" s="34">
        <v>708231.21320066298</v>
      </c>
      <c r="U75" s="16">
        <v>1.9022870734761101E-3</v>
      </c>
      <c r="V75" s="16">
        <v>2.4323427961239E-3</v>
      </c>
      <c r="W75" s="16">
        <v>2.0936161242090501E-3</v>
      </c>
      <c r="X75" s="35">
        <v>1497.0979495000799</v>
      </c>
      <c r="Y75" s="35">
        <v>1499.9485700668399</v>
      </c>
      <c r="Z75" s="35">
        <v>1500.0484933346299</v>
      </c>
      <c r="AA75" s="35">
        <v>1500.16407835123</v>
      </c>
      <c r="AB75" s="34">
        <v>708095.72095715697</v>
      </c>
      <c r="AC75" s="34">
        <v>708471.15063676704</v>
      </c>
      <c r="AD75" s="34">
        <v>708231.21320066298</v>
      </c>
      <c r="AE75" s="16">
        <v>1.9022870734761101E-3</v>
      </c>
      <c r="AF75" s="16">
        <v>2.4323427961239E-3</v>
      </c>
      <c r="AG75" s="16">
        <v>2.0936161242090501E-3</v>
      </c>
      <c r="AI75" s="12"/>
      <c r="AJ75">
        <f>IF($AG75&lt;AI$21,1,0)</f>
        <v>0</v>
      </c>
      <c r="AK75">
        <f>IF($AG75&gt;AI$22,1,0)</f>
        <v>1</v>
      </c>
      <c r="AL75">
        <f t="shared" si="2"/>
        <v>0</v>
      </c>
      <c r="AM75">
        <f>IF(F76+H76&gt;0,0,1)</f>
        <v>1</v>
      </c>
      <c r="AN75">
        <f t="shared" si="3"/>
        <v>0</v>
      </c>
      <c r="AO75" s="29">
        <f>AN75*D75</f>
        <v>0</v>
      </c>
      <c r="AP75" s="29">
        <f>-AN75*$E75</f>
        <v>0</v>
      </c>
      <c r="AQ75" s="29">
        <f t="shared" si="4"/>
        <v>0</v>
      </c>
      <c r="AR75" s="30">
        <f t="shared" si="5"/>
        <v>7.0817603292344196E-3</v>
      </c>
      <c r="AT75" s="12"/>
      <c r="AU75">
        <f>IF($AG75&gt;AT$21,1,0)</f>
        <v>0</v>
      </c>
      <c r="AV75">
        <f>IF($AG75&lt;AT$22,1,0)</f>
        <v>0</v>
      </c>
      <c r="AW75">
        <f t="shared" si="6"/>
        <v>0</v>
      </c>
      <c r="AX75">
        <f>IF(F76+H76&gt;0,0,1)</f>
        <v>1</v>
      </c>
      <c r="AY75">
        <f t="shared" si="7"/>
        <v>0</v>
      </c>
      <c r="AZ75" s="29">
        <f>-AY75*D75</f>
        <v>0</v>
      </c>
      <c r="BA75" s="29">
        <f>AY75*$E75</f>
        <v>0</v>
      </c>
      <c r="BB75" s="29">
        <f t="shared" si="8"/>
        <v>0</v>
      </c>
      <c r="BC75" s="30">
        <f t="shared" si="9"/>
        <v>0</v>
      </c>
      <c r="BE75" s="30">
        <f t="shared" si="10"/>
        <v>0</v>
      </c>
      <c r="BF75" s="30">
        <f t="shared" si="11"/>
        <v>7.0817603292344196E-3</v>
      </c>
      <c r="BH75" s="30"/>
    </row>
    <row r="76" spans="1:60" x14ac:dyDescent="0.25">
      <c r="A76" s="1">
        <v>46133</v>
      </c>
      <c r="B76" s="34">
        <v>468.5</v>
      </c>
      <c r="C76" s="34">
        <v>703700</v>
      </c>
      <c r="D76" s="16">
        <v>-7.6123610704363701E-3</v>
      </c>
      <c r="E76" s="16">
        <v>-4.3248676011965201E-3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468.5</v>
      </c>
      <c r="M76" s="34">
        <v>703700</v>
      </c>
      <c r="N76" s="35">
        <v>1502.0277481323301</v>
      </c>
      <c r="O76" s="35">
        <v>1499.9485700668399</v>
      </c>
      <c r="P76" s="35">
        <v>1500.3014689510701</v>
      </c>
      <c r="Q76" s="35">
        <v>1500.26234062764</v>
      </c>
      <c r="R76" s="34">
        <v>702725.90507631702</v>
      </c>
      <c r="S76" s="34">
        <v>702772.71912727505</v>
      </c>
      <c r="T76" s="34">
        <v>702826.87070755498</v>
      </c>
      <c r="U76" s="16">
        <v>-1.3852063957637899E-3</v>
      </c>
      <c r="V76" s="16">
        <v>-1.3185908186744699E-3</v>
      </c>
      <c r="W76" s="16">
        <v>-1.2415396005338E-3</v>
      </c>
      <c r="X76" s="35">
        <v>1502.0277481323301</v>
      </c>
      <c r="Y76" s="35">
        <v>1499.9485700668399</v>
      </c>
      <c r="Z76" s="35">
        <v>1500.3014689510701</v>
      </c>
      <c r="AA76" s="35">
        <v>1500.26234062764</v>
      </c>
      <c r="AB76" s="34">
        <v>702725.90507631702</v>
      </c>
      <c r="AC76" s="34">
        <v>702772.71912727505</v>
      </c>
      <c r="AD76" s="34">
        <v>702826.87070755498</v>
      </c>
      <c r="AE76" s="16">
        <v>-1.3852063957637899E-3</v>
      </c>
      <c r="AF76" s="16">
        <v>-1.3185908186744699E-3</v>
      </c>
      <c r="AG76" s="16">
        <v>-1.2415396005338E-3</v>
      </c>
      <c r="AI76" s="12"/>
      <c r="AJ76">
        <f>IF($AG76&lt;AI$21,1,0)</f>
        <v>0</v>
      </c>
      <c r="AK76">
        <f>IF($AG76&gt;AI$22,1,0)</f>
        <v>0</v>
      </c>
      <c r="AL76">
        <f t="shared" si="2"/>
        <v>0</v>
      </c>
      <c r="AM76">
        <f>IF(F77+H77&gt;0,0,1)</f>
        <v>1</v>
      </c>
      <c r="AN76">
        <f t="shared" si="3"/>
        <v>0</v>
      </c>
      <c r="AO76" s="29">
        <f>AN76*D76</f>
        <v>0</v>
      </c>
      <c r="AP76" s="29">
        <f>-AN76*$E76</f>
        <v>0</v>
      </c>
      <c r="AQ76" s="29">
        <f t="shared" si="4"/>
        <v>0</v>
      </c>
      <c r="AR76" s="30">
        <f t="shared" si="5"/>
        <v>7.0817603292344196E-3</v>
      </c>
      <c r="AT76" s="12"/>
      <c r="AU76">
        <f>IF($AG76&gt;AT$21,1,0)</f>
        <v>0</v>
      </c>
      <c r="AV76">
        <f>IF($AG76&lt;AT$22,1,0)</f>
        <v>1</v>
      </c>
      <c r="AW76">
        <f t="shared" si="6"/>
        <v>0</v>
      </c>
      <c r="AX76">
        <f>IF(F77+H77&gt;0,0,1)</f>
        <v>1</v>
      </c>
      <c r="AY76">
        <f t="shared" si="7"/>
        <v>0</v>
      </c>
      <c r="AZ76" s="29">
        <f>-AY76*D76</f>
        <v>0</v>
      </c>
      <c r="BA76" s="29">
        <f>AY76*$E76</f>
        <v>0</v>
      </c>
      <c r="BB76" s="29">
        <f t="shared" si="8"/>
        <v>0</v>
      </c>
      <c r="BC76" s="30">
        <f t="shared" si="9"/>
        <v>0</v>
      </c>
      <c r="BE76" s="30">
        <f t="shared" si="10"/>
        <v>0</v>
      </c>
      <c r="BF76" s="30">
        <f t="shared" si="11"/>
        <v>7.0817603292344196E-3</v>
      </c>
      <c r="BH76" s="30"/>
    </row>
    <row r="77" spans="1:60" x14ac:dyDescent="0.25">
      <c r="A77" s="1">
        <v>46134</v>
      </c>
      <c r="B77" s="34">
        <v>465.4</v>
      </c>
      <c r="C77" s="34">
        <v>702980</v>
      </c>
      <c r="D77" s="16">
        <v>-6.63885081028556E-3</v>
      </c>
      <c r="E77" s="16">
        <v>-1.0236870686668501E-3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465.4</v>
      </c>
      <c r="M77" s="34">
        <v>702980</v>
      </c>
      <c r="N77" s="35">
        <v>1510.4856037816901</v>
      </c>
      <c r="O77" s="35">
        <v>1499.9485700668399</v>
      </c>
      <c r="P77" s="35">
        <v>1501.1651413667601</v>
      </c>
      <c r="Q77" s="35">
        <v>1500.8643334572801</v>
      </c>
      <c r="R77" s="34">
        <v>698076.06450910994</v>
      </c>
      <c r="S77" s="34">
        <v>698240.30364983203</v>
      </c>
      <c r="T77" s="34">
        <v>698222.09332810401</v>
      </c>
      <c r="U77" s="16">
        <v>-7.0003701373825703E-3</v>
      </c>
      <c r="V77" s="16">
        <v>-6.7651238203956096E-3</v>
      </c>
      <c r="W77" s="16">
        <v>-6.7912044678480896E-3</v>
      </c>
      <c r="X77" s="35">
        <v>1510.4856037816901</v>
      </c>
      <c r="Y77" s="35">
        <v>1499.9485700668399</v>
      </c>
      <c r="Z77" s="35">
        <v>1501.1651413667601</v>
      </c>
      <c r="AA77" s="35">
        <v>1500.8643334572801</v>
      </c>
      <c r="AB77" s="34">
        <v>698076.06450910994</v>
      </c>
      <c r="AC77" s="34">
        <v>698240.30364983203</v>
      </c>
      <c r="AD77" s="34">
        <v>698222.09332810401</v>
      </c>
      <c r="AE77" s="16">
        <v>-7.0003701373825703E-3</v>
      </c>
      <c r="AF77" s="16">
        <v>-6.7651238203956096E-3</v>
      </c>
      <c r="AG77" s="16">
        <v>-6.7912044678480896E-3</v>
      </c>
      <c r="AI77" s="12"/>
      <c r="AJ77">
        <f>IF($AG77&lt;AI$21,1,0)</f>
        <v>1</v>
      </c>
      <c r="AK77">
        <f>IF($AG77&gt;AI$22,1,0)</f>
        <v>0</v>
      </c>
      <c r="AL77">
        <f t="shared" si="2"/>
        <v>0</v>
      </c>
      <c r="AM77">
        <f>IF(F78+H78&gt;0,0,1)</f>
        <v>1</v>
      </c>
      <c r="AN77">
        <f t="shared" si="3"/>
        <v>0</v>
      </c>
      <c r="AO77" s="29">
        <f>AN77*D77</f>
        <v>0</v>
      </c>
      <c r="AP77" s="29">
        <f>-AN77*$E77</f>
        <v>0</v>
      </c>
      <c r="AQ77" s="29">
        <f t="shared" si="4"/>
        <v>0</v>
      </c>
      <c r="AR77" s="30">
        <f t="shared" si="5"/>
        <v>7.0817603292344196E-3</v>
      </c>
      <c r="AT77" s="12"/>
      <c r="AU77">
        <f>IF($AG77&gt;AT$21,1,0)</f>
        <v>0</v>
      </c>
      <c r="AV77">
        <f>IF($AG77&lt;AT$22,1,0)</f>
        <v>1</v>
      </c>
      <c r="AW77">
        <f t="shared" si="6"/>
        <v>0</v>
      </c>
      <c r="AX77">
        <f>IF(F78+H78&gt;0,0,1)</f>
        <v>1</v>
      </c>
      <c r="AY77">
        <f t="shared" si="7"/>
        <v>0</v>
      </c>
      <c r="AZ77" s="29">
        <f>-AY77*D77</f>
        <v>0</v>
      </c>
      <c r="BA77" s="29">
        <f>AY77*$E77</f>
        <v>0</v>
      </c>
      <c r="BB77" s="29">
        <f t="shared" si="8"/>
        <v>0</v>
      </c>
      <c r="BC77" s="30">
        <f t="shared" si="9"/>
        <v>0</v>
      </c>
      <c r="BE77" s="30">
        <f t="shared" si="10"/>
        <v>0</v>
      </c>
      <c r="BF77" s="30">
        <f t="shared" si="11"/>
        <v>7.0817603292344196E-3</v>
      </c>
      <c r="BH77" s="30"/>
    </row>
    <row r="78" spans="1:60" x14ac:dyDescent="0.25">
      <c r="A78" s="1">
        <v>46135</v>
      </c>
      <c r="B78" s="34">
        <v>470.55</v>
      </c>
      <c r="C78" s="34">
        <v>706165</v>
      </c>
      <c r="D78" s="16">
        <v>1.1004972436605601E-2</v>
      </c>
      <c r="E78" s="16">
        <v>4.5204793313916997E-3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470.55</v>
      </c>
      <c r="M78" s="34">
        <v>706165</v>
      </c>
      <c r="N78" s="35">
        <v>1500.7225587078899</v>
      </c>
      <c r="O78" s="35">
        <v>1499.9485700668399</v>
      </c>
      <c r="P78" s="35">
        <v>1501.22079377506</v>
      </c>
      <c r="Q78" s="35">
        <v>1500.82782127004</v>
      </c>
      <c r="R78" s="34">
        <v>705800.79964495404</v>
      </c>
      <c r="S78" s="34">
        <v>706373.25727013196</v>
      </c>
      <c r="T78" s="34">
        <v>706231.71210832696</v>
      </c>
      <c r="U78" s="16">
        <v>-5.1587703216871797E-4</v>
      </c>
      <c r="V78" s="16">
        <v>2.94869566285574E-4</v>
      </c>
      <c r="W78" s="16">
        <v>9.44665302668569E-5</v>
      </c>
      <c r="X78" s="35">
        <v>1500.7225587078899</v>
      </c>
      <c r="Y78" s="35">
        <v>1499.9485700668399</v>
      </c>
      <c r="Z78" s="35">
        <v>1501.22079377506</v>
      </c>
      <c r="AA78" s="35">
        <v>1500.82782127004</v>
      </c>
      <c r="AB78" s="34">
        <v>705800.79964495404</v>
      </c>
      <c r="AC78" s="34">
        <v>706373.25727013196</v>
      </c>
      <c r="AD78" s="34">
        <v>706231.71210832696</v>
      </c>
      <c r="AE78" s="16">
        <v>-5.1587703216871797E-4</v>
      </c>
      <c r="AF78" s="16">
        <v>2.94869566285574E-4</v>
      </c>
      <c r="AG78" s="16">
        <v>9.44665302668569E-5</v>
      </c>
      <c r="AI78" s="12"/>
      <c r="AJ78">
        <f>IF($AG78&lt;AI$21,1,0)</f>
        <v>0</v>
      </c>
      <c r="AK78">
        <f>IF($AG78&gt;AI$22,1,0)</f>
        <v>1</v>
      </c>
      <c r="AL78">
        <f t="shared" si="2"/>
        <v>1</v>
      </c>
      <c r="AM78">
        <f>IF(F79+H79&gt;0,0,1)</f>
        <v>1</v>
      </c>
      <c r="AN78">
        <f t="shared" si="3"/>
        <v>1</v>
      </c>
      <c r="AO78" s="29">
        <f>AN78*D78</f>
        <v>1.1004972436605601E-2</v>
      </c>
      <c r="AP78" s="29">
        <f>-AN78*$E78</f>
        <v>-4.5204793313916997E-3</v>
      </c>
      <c r="AQ78" s="29">
        <f t="shared" si="4"/>
        <v>6.484493105213901E-3</v>
      </c>
      <c r="AR78" s="30">
        <f t="shared" si="5"/>
        <v>1.3566253434448321E-2</v>
      </c>
      <c r="AT78" s="12"/>
      <c r="AU78">
        <f>IF($AG78&gt;AT$21,1,0)</f>
        <v>0</v>
      </c>
      <c r="AV78">
        <f>IF($AG78&lt;AT$22,1,0)</f>
        <v>1</v>
      </c>
      <c r="AW78">
        <f t="shared" si="6"/>
        <v>0</v>
      </c>
      <c r="AX78">
        <f>IF(F79+H79&gt;0,0,1)</f>
        <v>1</v>
      </c>
      <c r="AY78">
        <f t="shared" si="7"/>
        <v>0</v>
      </c>
      <c r="AZ78" s="29">
        <f>-AY78*D78</f>
        <v>0</v>
      </c>
      <c r="BA78" s="29">
        <f>AY78*$E78</f>
        <v>0</v>
      </c>
      <c r="BB78" s="29">
        <f t="shared" si="8"/>
        <v>0</v>
      </c>
      <c r="BC78" s="30">
        <f t="shared" si="9"/>
        <v>0</v>
      </c>
      <c r="BE78" s="30">
        <f t="shared" si="10"/>
        <v>6.484493105213901E-3</v>
      </c>
      <c r="BF78" s="30">
        <f t="shared" si="11"/>
        <v>1.3566253434448321E-2</v>
      </c>
      <c r="BH78" s="30"/>
    </row>
    <row r="79" spans="1:60" x14ac:dyDescent="0.25">
      <c r="A79" s="1">
        <v>46136</v>
      </c>
      <c r="B79" s="34">
        <v>469.32</v>
      </c>
      <c r="C79" s="34">
        <v>704760</v>
      </c>
      <c r="D79" s="16">
        <v>-2.6173847493738199E-3</v>
      </c>
      <c r="E79" s="16">
        <v>-1.9916019127997398E-3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469.32</v>
      </c>
      <c r="M79" s="34">
        <v>704760</v>
      </c>
      <c r="N79" s="35">
        <v>1501.6619790334901</v>
      </c>
      <c r="O79" s="35">
        <v>1499.9485700668399</v>
      </c>
      <c r="P79" s="35">
        <v>1501.3551350416101</v>
      </c>
      <c r="Q79" s="35">
        <v>1500.95352758174</v>
      </c>
      <c r="R79" s="34">
        <v>703955.86290377204</v>
      </c>
      <c r="S79" s="34">
        <v>704552.94293451402</v>
      </c>
      <c r="T79" s="34">
        <v>704368.51307845605</v>
      </c>
      <c r="U79" s="16">
        <v>-1.1416598687428801E-3</v>
      </c>
      <c r="V79" s="16">
        <v>-2.93841148643831E-4</v>
      </c>
      <c r="W79" s="16">
        <v>-5.5564404237413902E-4</v>
      </c>
      <c r="X79" s="35">
        <v>1501.6619790334901</v>
      </c>
      <c r="Y79" s="35">
        <v>1499.9485700668399</v>
      </c>
      <c r="Z79" s="35">
        <v>1501.3551350416101</v>
      </c>
      <c r="AA79" s="35">
        <v>1500.95352758174</v>
      </c>
      <c r="AB79" s="34">
        <v>703955.86290377204</v>
      </c>
      <c r="AC79" s="34">
        <v>704552.94293451402</v>
      </c>
      <c r="AD79" s="34">
        <v>704368.51307845605</v>
      </c>
      <c r="AE79" s="16">
        <v>-1.1416598687428801E-3</v>
      </c>
      <c r="AF79" s="16">
        <v>-2.93841148643831E-4</v>
      </c>
      <c r="AG79" s="16">
        <v>-5.5564404237413902E-4</v>
      </c>
      <c r="AI79" s="12"/>
      <c r="AJ79">
        <f>IF($AG79&lt;AI$21,1,0)</f>
        <v>0</v>
      </c>
      <c r="AK79">
        <f>IF($AG79&gt;AI$22,1,0)</f>
        <v>1</v>
      </c>
      <c r="AL79">
        <f t="shared" si="2"/>
        <v>0</v>
      </c>
      <c r="AM79">
        <f>IF(F80+H80&gt;0,0,1)</f>
        <v>1</v>
      </c>
      <c r="AN79">
        <f t="shared" si="3"/>
        <v>0</v>
      </c>
      <c r="AO79" s="29">
        <f>AN79*D79</f>
        <v>0</v>
      </c>
      <c r="AP79" s="29">
        <f>-AN79*$E79</f>
        <v>0</v>
      </c>
      <c r="AQ79" s="29">
        <f t="shared" si="4"/>
        <v>0</v>
      </c>
      <c r="AR79" s="30">
        <f t="shared" si="5"/>
        <v>1.3566253434448321E-2</v>
      </c>
      <c r="AT79" s="12"/>
      <c r="AU79">
        <f>IF($AG79&gt;AT$21,1,0)</f>
        <v>0</v>
      </c>
      <c r="AV79">
        <f>IF($AG79&lt;AT$22,1,0)</f>
        <v>1</v>
      </c>
      <c r="AW79">
        <f t="shared" si="6"/>
        <v>0</v>
      </c>
      <c r="AX79">
        <f>IF(F80+H80&gt;0,0,1)</f>
        <v>1</v>
      </c>
      <c r="AY79">
        <f t="shared" si="7"/>
        <v>0</v>
      </c>
      <c r="AZ79" s="29">
        <f>-AY79*D79</f>
        <v>0</v>
      </c>
      <c r="BA79" s="29">
        <f>AY79*$E79</f>
        <v>0</v>
      </c>
      <c r="BB79" s="29">
        <f t="shared" si="8"/>
        <v>0</v>
      </c>
      <c r="BC79" s="30">
        <f t="shared" si="9"/>
        <v>0</v>
      </c>
      <c r="BE79" s="30">
        <f t="shared" si="10"/>
        <v>0</v>
      </c>
      <c r="BF79" s="30">
        <f t="shared" si="11"/>
        <v>1.3566253434448321E-2</v>
      </c>
      <c r="BH79" s="30"/>
    </row>
    <row r="80" spans="1:60" x14ac:dyDescent="0.25">
      <c r="A80" s="1">
        <v>46139</v>
      </c>
      <c r="B80" s="34">
        <v>472.81</v>
      </c>
      <c r="C80" s="34">
        <v>708600.06</v>
      </c>
      <c r="D80" s="16">
        <v>7.4087779050113203E-3</v>
      </c>
      <c r="E80" s="16">
        <v>5.4339577829446897E-3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472.81</v>
      </c>
      <c r="M80" s="34">
        <v>708600.06</v>
      </c>
      <c r="N80" s="35">
        <v>1498.6993929908399</v>
      </c>
      <c r="O80" s="35">
        <v>1499.9485700668399</v>
      </c>
      <c r="P80" s="35">
        <v>1501.12823767188</v>
      </c>
      <c r="Q80" s="35">
        <v>1500.78550677257</v>
      </c>
      <c r="R80" s="34">
        <v>709190.68341330497</v>
      </c>
      <c r="S80" s="34">
        <v>709855.72139902704</v>
      </c>
      <c r="T80" s="34">
        <v>709665.83737592399</v>
      </c>
      <c r="U80" s="16">
        <v>8.3316025332366098E-4</v>
      </c>
      <c r="V80" s="16">
        <v>1.7704629830364799E-3</v>
      </c>
      <c r="W80" s="16">
        <v>1.50293055556286E-3</v>
      </c>
      <c r="X80" s="35">
        <v>1498.6993929908399</v>
      </c>
      <c r="Y80" s="35">
        <v>1499.9485700668399</v>
      </c>
      <c r="Z80" s="35">
        <v>1501.12823767188</v>
      </c>
      <c r="AA80" s="35">
        <v>1500.78550677257</v>
      </c>
      <c r="AB80" s="34">
        <v>709190.68341330497</v>
      </c>
      <c r="AC80" s="34">
        <v>709855.72139902704</v>
      </c>
      <c r="AD80" s="34">
        <v>709665.83737592399</v>
      </c>
      <c r="AE80" s="16">
        <v>8.3316025332366098E-4</v>
      </c>
      <c r="AF80" s="16">
        <v>1.7704629830364799E-3</v>
      </c>
      <c r="AG80" s="16">
        <v>1.50293055556286E-3</v>
      </c>
      <c r="AI80" s="12"/>
      <c r="AJ80">
        <f>IF($AG80&lt;AI$21,1,0)</f>
        <v>0</v>
      </c>
      <c r="AK80">
        <f>IF($AG80&gt;AI$22,1,0)</f>
        <v>1</v>
      </c>
      <c r="AL80">
        <f t="shared" si="2"/>
        <v>0</v>
      </c>
      <c r="AM80">
        <f>IF(F81+H81&gt;0,0,1)</f>
        <v>1</v>
      </c>
      <c r="AN80">
        <f t="shared" si="3"/>
        <v>0</v>
      </c>
      <c r="AO80" s="29">
        <f>AN80*D80</f>
        <v>0</v>
      </c>
      <c r="AP80" s="29">
        <f>-AN80*$E80</f>
        <v>0</v>
      </c>
      <c r="AQ80" s="29">
        <f t="shared" si="4"/>
        <v>0</v>
      </c>
      <c r="AR80" s="30">
        <f t="shared" si="5"/>
        <v>1.3566253434448321E-2</v>
      </c>
      <c r="AT80" s="12"/>
      <c r="AU80">
        <f>IF($AG80&gt;AT$21,1,0)</f>
        <v>0</v>
      </c>
      <c r="AV80">
        <f>IF($AG80&lt;AT$22,1,0)</f>
        <v>0</v>
      </c>
      <c r="AW80">
        <f t="shared" si="6"/>
        <v>0</v>
      </c>
      <c r="AX80">
        <f>IF(F81+H81&gt;0,0,1)</f>
        <v>1</v>
      </c>
      <c r="AY80">
        <f t="shared" si="7"/>
        <v>0</v>
      </c>
      <c r="AZ80" s="29">
        <f>-AY80*D80</f>
        <v>0</v>
      </c>
      <c r="BA80" s="29">
        <f>AY80*$E80</f>
        <v>0</v>
      </c>
      <c r="BB80" s="29">
        <f t="shared" si="8"/>
        <v>0</v>
      </c>
      <c r="BC80" s="30">
        <f t="shared" si="9"/>
        <v>0</v>
      </c>
      <c r="BE80" s="30">
        <f t="shared" si="10"/>
        <v>0</v>
      </c>
      <c r="BF80" s="30">
        <f t="shared" si="11"/>
        <v>1.3566253434448321E-2</v>
      </c>
      <c r="BH80" s="30"/>
    </row>
    <row r="81" spans="1:60" x14ac:dyDescent="0.25">
      <c r="A81" s="1">
        <v>46140</v>
      </c>
      <c r="B81" s="34">
        <v>478.16</v>
      </c>
      <c r="C81" s="34">
        <v>717550</v>
      </c>
      <c r="D81" s="16">
        <v>1.1251788055564401E-2</v>
      </c>
      <c r="E81" s="16">
        <v>1.25513545115677E-2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478.16</v>
      </c>
      <c r="M81" s="34">
        <v>717550</v>
      </c>
      <c r="N81" s="35">
        <v>1500.64831855445</v>
      </c>
      <c r="O81" s="35">
        <v>1499.9485700668399</v>
      </c>
      <c r="P81" s="35">
        <v>1501.0939804457801</v>
      </c>
      <c r="Q81" s="35">
        <v>1500.7431323240301</v>
      </c>
      <c r="R81" s="34">
        <v>717215.40826316294</v>
      </c>
      <c r="S81" s="34">
        <v>717779.47812518699</v>
      </c>
      <c r="T81" s="34">
        <v>717615.59791837598</v>
      </c>
      <c r="U81" s="16">
        <v>-4.6640620267948701E-4</v>
      </c>
      <c r="V81" s="16">
        <v>3.1975672574167003E-4</v>
      </c>
      <c r="W81" s="16">
        <v>9.1415121038548506E-5</v>
      </c>
      <c r="X81" s="35">
        <v>1500.64831855445</v>
      </c>
      <c r="Y81" s="35">
        <v>1499.9485700668399</v>
      </c>
      <c r="Z81" s="35">
        <v>1501.0939804457801</v>
      </c>
      <c r="AA81" s="35">
        <v>1500.7431323240301</v>
      </c>
      <c r="AB81" s="34">
        <v>717215.40826316294</v>
      </c>
      <c r="AC81" s="34">
        <v>717779.47812518699</v>
      </c>
      <c r="AD81" s="34">
        <v>717615.59791837598</v>
      </c>
      <c r="AE81" s="16">
        <v>-4.6640620267948701E-4</v>
      </c>
      <c r="AF81" s="16">
        <v>3.1975672574167003E-4</v>
      </c>
      <c r="AG81" s="16">
        <v>9.1415121038548506E-5</v>
      </c>
      <c r="AI81" s="12"/>
      <c r="AJ81">
        <f>IF($AG81&lt;AI$21,1,0)</f>
        <v>0</v>
      </c>
      <c r="AK81">
        <f>IF($AG81&gt;AI$22,1,0)</f>
        <v>1</v>
      </c>
      <c r="AL81">
        <f t="shared" si="2"/>
        <v>0</v>
      </c>
      <c r="AM81">
        <f>IF(F82+H82&gt;0,0,1)</f>
        <v>1</v>
      </c>
      <c r="AN81">
        <f t="shared" si="3"/>
        <v>0</v>
      </c>
      <c r="AO81" s="29">
        <f>AN81*D81</f>
        <v>0</v>
      </c>
      <c r="AP81" s="29">
        <f>-AN81*$E81</f>
        <v>0</v>
      </c>
      <c r="AQ81" s="29">
        <f t="shared" si="4"/>
        <v>0</v>
      </c>
      <c r="AR81" s="30">
        <f t="shared" si="5"/>
        <v>1.3566253434448321E-2</v>
      </c>
      <c r="AT81" s="12"/>
      <c r="AU81">
        <f>IF($AG81&gt;AT$21,1,0)</f>
        <v>0</v>
      </c>
      <c r="AV81">
        <f>IF($AG81&lt;AT$22,1,0)</f>
        <v>1</v>
      </c>
      <c r="AW81">
        <f t="shared" si="6"/>
        <v>0</v>
      </c>
      <c r="AX81">
        <f>IF(F82+H82&gt;0,0,1)</f>
        <v>1</v>
      </c>
      <c r="AY81">
        <f t="shared" si="7"/>
        <v>0</v>
      </c>
      <c r="AZ81" s="29">
        <f>-AY81*D81</f>
        <v>0</v>
      </c>
      <c r="BA81" s="29">
        <f>AY81*$E81</f>
        <v>0</v>
      </c>
      <c r="BB81" s="29">
        <f t="shared" si="8"/>
        <v>0</v>
      </c>
      <c r="BC81" s="30">
        <f t="shared" si="9"/>
        <v>0</v>
      </c>
      <c r="BE81" s="30">
        <f t="shared" si="10"/>
        <v>0</v>
      </c>
      <c r="BF81" s="30">
        <f t="shared" si="11"/>
        <v>1.3566253434448321E-2</v>
      </c>
      <c r="BH81" s="30"/>
    </row>
    <row r="82" spans="1:60" x14ac:dyDescent="0.25">
      <c r="A82" s="1">
        <v>46141</v>
      </c>
      <c r="B82" s="34">
        <v>475.38</v>
      </c>
      <c r="C82" s="34">
        <v>713000.06</v>
      </c>
      <c r="D82" s="16">
        <v>-5.8309203107932096E-3</v>
      </c>
      <c r="E82" s="16">
        <v>-6.3611270511757002E-3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475.38</v>
      </c>
      <c r="M82" s="34">
        <v>713000.06</v>
      </c>
      <c r="N82" s="35">
        <v>1499.85287559426</v>
      </c>
      <c r="O82" s="35">
        <v>1499.9485700668399</v>
      </c>
      <c r="P82" s="35">
        <v>1501.05828042901</v>
      </c>
      <c r="Q82" s="35">
        <v>1500.80464087836</v>
      </c>
      <c r="R82" s="34">
        <v>713045.551238377</v>
      </c>
      <c r="S82" s="34">
        <v>713590.05642431695</v>
      </c>
      <c r="T82" s="34">
        <v>713423.27024419804</v>
      </c>
      <c r="U82" s="16">
        <v>6.3800537702836797E-5</v>
      </c>
      <c r="V82" s="16">
        <v>8.2714221998756701E-4</v>
      </c>
      <c r="W82" s="16">
        <v>5.9338661622143195E-4</v>
      </c>
      <c r="X82" s="35">
        <v>1499.85287559426</v>
      </c>
      <c r="Y82" s="35">
        <v>1499.9485700668399</v>
      </c>
      <c r="Z82" s="35">
        <v>1501.05828042901</v>
      </c>
      <c r="AA82" s="35">
        <v>1500.80464087836</v>
      </c>
      <c r="AB82" s="34">
        <v>713045.551238377</v>
      </c>
      <c r="AC82" s="34">
        <v>713590.05642431695</v>
      </c>
      <c r="AD82" s="34">
        <v>713423.27024419804</v>
      </c>
      <c r="AE82" s="16">
        <v>6.3800537702836797E-5</v>
      </c>
      <c r="AF82" s="16">
        <v>8.2714221998756701E-4</v>
      </c>
      <c r="AG82" s="16">
        <v>5.9338661622143195E-4</v>
      </c>
      <c r="AI82" s="12"/>
      <c r="AJ82">
        <f>IF($AG82&lt;AI$21,1,0)</f>
        <v>0</v>
      </c>
      <c r="AK82">
        <f>IF($AG82&gt;AI$22,1,0)</f>
        <v>1</v>
      </c>
      <c r="AL82">
        <f t="shared" si="2"/>
        <v>0</v>
      </c>
      <c r="AM82">
        <f>IF(F83+H83&gt;0,0,1)</f>
        <v>1</v>
      </c>
      <c r="AN82">
        <f t="shared" si="3"/>
        <v>0</v>
      </c>
      <c r="AO82" s="29">
        <f>AN82*D82</f>
        <v>0</v>
      </c>
      <c r="AP82" s="29">
        <f>-AN82*$E82</f>
        <v>0</v>
      </c>
      <c r="AQ82" s="29">
        <f t="shared" si="4"/>
        <v>0</v>
      </c>
      <c r="AR82" s="30">
        <f t="shared" si="5"/>
        <v>1.3566253434448321E-2</v>
      </c>
      <c r="AT82" s="12"/>
      <c r="AU82">
        <f>IF($AG82&gt;AT$21,1,0)</f>
        <v>0</v>
      </c>
      <c r="AV82">
        <f>IF($AG82&lt;AT$22,1,0)</f>
        <v>1</v>
      </c>
      <c r="AW82">
        <f t="shared" si="6"/>
        <v>0</v>
      </c>
      <c r="AX82">
        <f>IF(F83+H83&gt;0,0,1)</f>
        <v>1</v>
      </c>
      <c r="AY82">
        <f t="shared" si="7"/>
        <v>0</v>
      </c>
      <c r="AZ82" s="29">
        <f>-AY82*D82</f>
        <v>0</v>
      </c>
      <c r="BA82" s="29">
        <f>AY82*$E82</f>
        <v>0</v>
      </c>
      <c r="BB82" s="29">
        <f t="shared" si="8"/>
        <v>0</v>
      </c>
      <c r="BC82" s="30">
        <f t="shared" si="9"/>
        <v>0</v>
      </c>
      <c r="BE82" s="30">
        <f t="shared" si="10"/>
        <v>0</v>
      </c>
      <c r="BF82" s="30">
        <f t="shared" si="11"/>
        <v>1.3566253434448321E-2</v>
      </c>
      <c r="BH82" s="30"/>
    </row>
    <row r="83" spans="1:60" x14ac:dyDescent="0.25">
      <c r="A83" s="1">
        <v>46142</v>
      </c>
      <c r="B83" s="34">
        <v>473.6</v>
      </c>
      <c r="C83" s="34">
        <v>711900</v>
      </c>
      <c r="D83" s="16">
        <v>-3.7514006354096101E-3</v>
      </c>
      <c r="E83" s="16">
        <v>-1.5440524559375199E-3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473.6</v>
      </c>
      <c r="M83" s="34">
        <v>711900</v>
      </c>
      <c r="N83" s="35">
        <v>1503.16722972972</v>
      </c>
      <c r="O83" s="35">
        <v>1499.9485700668399</v>
      </c>
      <c r="P83" s="35">
        <v>1501.3707939391099</v>
      </c>
      <c r="Q83" s="35">
        <v>1501.1189062311</v>
      </c>
      <c r="R83" s="34">
        <v>710375.642783658</v>
      </c>
      <c r="S83" s="34">
        <v>710901.20161118102</v>
      </c>
      <c r="T83" s="34">
        <v>710781.07791999599</v>
      </c>
      <c r="U83" s="16">
        <v>-2.1435476417689401E-3</v>
      </c>
      <c r="V83" s="16">
        <v>-1.4039889082972201E-3</v>
      </c>
      <c r="W83" s="16">
        <v>-1.57297700528679E-3</v>
      </c>
      <c r="X83" s="35">
        <v>1503.16722972972</v>
      </c>
      <c r="Y83" s="35">
        <v>1499.9485700668399</v>
      </c>
      <c r="Z83" s="35">
        <v>1501.3707939391099</v>
      </c>
      <c r="AA83" s="35">
        <v>1501.1189062311</v>
      </c>
      <c r="AB83" s="34">
        <v>710375.642783658</v>
      </c>
      <c r="AC83" s="34">
        <v>710901.20161118102</v>
      </c>
      <c r="AD83" s="34">
        <v>710781.07791999599</v>
      </c>
      <c r="AE83" s="16">
        <v>-2.1435476417689401E-3</v>
      </c>
      <c r="AF83" s="16">
        <v>-1.4039889082972201E-3</v>
      </c>
      <c r="AG83" s="16">
        <v>-1.57297700528679E-3</v>
      </c>
      <c r="AI83" s="12"/>
      <c r="AJ83">
        <f>IF($AG83&lt;AI$21,1,0)</f>
        <v>0</v>
      </c>
      <c r="AK83">
        <f>IF($AG83&gt;AI$22,1,0)</f>
        <v>0</v>
      </c>
      <c r="AL83">
        <f t="shared" si="2"/>
        <v>0</v>
      </c>
      <c r="AM83">
        <f>IF(F84+H84&gt;0,0,1)</f>
        <v>1</v>
      </c>
      <c r="AN83">
        <f t="shared" si="3"/>
        <v>0</v>
      </c>
      <c r="AO83" s="29">
        <f>AN83*D83</f>
        <v>0</v>
      </c>
      <c r="AP83" s="29">
        <f>-AN83*$E83</f>
        <v>0</v>
      </c>
      <c r="AQ83" s="29">
        <f t="shared" si="4"/>
        <v>0</v>
      </c>
      <c r="AR83" s="30">
        <f t="shared" si="5"/>
        <v>1.3566253434448321E-2</v>
      </c>
      <c r="AT83" s="12"/>
      <c r="AU83">
        <f>IF($AG83&gt;AT$21,1,0)</f>
        <v>0</v>
      </c>
      <c r="AV83">
        <f>IF($AG83&lt;AT$22,1,0)</f>
        <v>1</v>
      </c>
      <c r="AW83">
        <f t="shared" si="6"/>
        <v>0</v>
      </c>
      <c r="AX83">
        <f>IF(F84+H84&gt;0,0,1)</f>
        <v>1</v>
      </c>
      <c r="AY83">
        <f t="shared" si="7"/>
        <v>0</v>
      </c>
      <c r="AZ83" s="29">
        <f>-AY83*D83</f>
        <v>0</v>
      </c>
      <c r="BA83" s="29">
        <f>AY83*$E83</f>
        <v>0</v>
      </c>
      <c r="BB83" s="29">
        <f t="shared" si="8"/>
        <v>0</v>
      </c>
      <c r="BC83" s="30">
        <f t="shared" si="9"/>
        <v>0</v>
      </c>
      <c r="BE83" s="30">
        <f t="shared" si="10"/>
        <v>0</v>
      </c>
      <c r="BF83" s="30">
        <f t="shared" si="11"/>
        <v>1.3566253434448321E-2</v>
      </c>
      <c r="BH83" s="30"/>
    </row>
    <row r="84" spans="1:60" x14ac:dyDescent="0.25">
      <c r="A84" s="1">
        <v>46143</v>
      </c>
      <c r="B84" s="34">
        <v>473.01</v>
      </c>
      <c r="C84" s="34">
        <v>710300</v>
      </c>
      <c r="D84" s="16">
        <v>-1.24655365229592E-3</v>
      </c>
      <c r="E84" s="16">
        <v>-2.25003610606331E-3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473.01</v>
      </c>
      <c r="M84" s="34">
        <v>710300</v>
      </c>
      <c r="N84" s="35">
        <v>1501.65958436396</v>
      </c>
      <c r="O84" s="35">
        <v>1499.9485700668399</v>
      </c>
      <c r="P84" s="35">
        <v>1501.6023240388699</v>
      </c>
      <c r="Q84" s="35">
        <v>1501.17308058913</v>
      </c>
      <c r="R84" s="34">
        <v>709490.67312731897</v>
      </c>
      <c r="S84" s="34">
        <v>710163.39924114</v>
      </c>
      <c r="T84" s="34">
        <v>710044.25383637496</v>
      </c>
      <c r="U84" s="16">
        <v>-1.1400651880016199E-3</v>
      </c>
      <c r="V84" s="16">
        <v>-1.9233267024509399E-4</v>
      </c>
      <c r="W84" s="16">
        <v>-3.6011856378926699E-4</v>
      </c>
      <c r="X84" s="35">
        <v>1501.65958436396</v>
      </c>
      <c r="Y84" s="35">
        <v>1499.9485700668399</v>
      </c>
      <c r="Z84" s="35">
        <v>1501.6023240388699</v>
      </c>
      <c r="AA84" s="35">
        <v>1501.17308058913</v>
      </c>
      <c r="AB84" s="34">
        <v>709490.67312731897</v>
      </c>
      <c r="AC84" s="34">
        <v>710163.39924114</v>
      </c>
      <c r="AD84" s="34">
        <v>710044.25383637496</v>
      </c>
      <c r="AE84" s="16">
        <v>-1.1400651880016199E-3</v>
      </c>
      <c r="AF84" s="16">
        <v>-1.9233267024509399E-4</v>
      </c>
      <c r="AG84" s="16">
        <v>-3.6011856378926699E-4</v>
      </c>
      <c r="AI84" s="12"/>
      <c r="AJ84">
        <f>IF($AG84&lt;AI$21,1,0)</f>
        <v>0</v>
      </c>
      <c r="AK84">
        <f>IF($AG84&gt;AI$22,1,0)</f>
        <v>1</v>
      </c>
      <c r="AL84">
        <f t="shared" si="2"/>
        <v>0</v>
      </c>
      <c r="AM84">
        <f>IF(F85+H85&gt;0,0,1)</f>
        <v>1</v>
      </c>
      <c r="AN84">
        <f t="shared" si="3"/>
        <v>0</v>
      </c>
      <c r="AO84" s="29">
        <f>AN84*D84</f>
        <v>0</v>
      </c>
      <c r="AP84" s="29">
        <f>-AN84*$E84</f>
        <v>0</v>
      </c>
      <c r="AQ84" s="29">
        <f t="shared" si="4"/>
        <v>0</v>
      </c>
      <c r="AR84" s="30">
        <f t="shared" si="5"/>
        <v>1.3566253434448321E-2</v>
      </c>
      <c r="AT84" s="12"/>
      <c r="AU84">
        <f>IF($AG84&gt;AT$21,1,0)</f>
        <v>0</v>
      </c>
      <c r="AV84">
        <f>IF($AG84&lt;AT$22,1,0)</f>
        <v>1</v>
      </c>
      <c r="AW84">
        <f t="shared" si="6"/>
        <v>0</v>
      </c>
      <c r="AX84">
        <f>IF(F85+H85&gt;0,0,1)</f>
        <v>1</v>
      </c>
      <c r="AY84">
        <f t="shared" si="7"/>
        <v>0</v>
      </c>
      <c r="AZ84" s="29">
        <f>-AY84*D84</f>
        <v>0</v>
      </c>
      <c r="BA84" s="29">
        <f>AY84*$E84</f>
        <v>0</v>
      </c>
      <c r="BB84" s="29">
        <f t="shared" si="8"/>
        <v>0</v>
      </c>
      <c r="BC84" s="30">
        <f t="shared" si="9"/>
        <v>0</v>
      </c>
      <c r="BE84" s="30">
        <f t="shared" si="10"/>
        <v>0</v>
      </c>
      <c r="BF84" s="30">
        <f t="shared" si="11"/>
        <v>1.3566253434448321E-2</v>
      </c>
      <c r="BH84" s="30"/>
    </row>
    <row r="85" spans="1:60" x14ac:dyDescent="0.25">
      <c r="A85" s="1">
        <v>46146</v>
      </c>
      <c r="B85" s="34">
        <v>468.52</v>
      </c>
      <c r="C85" s="34">
        <v>702790.31</v>
      </c>
      <c r="D85" s="16">
        <v>-9.5377397158261795E-3</v>
      </c>
      <c r="E85" s="16">
        <v>-1.0628847492190899E-2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468.52</v>
      </c>
      <c r="M85" s="34">
        <v>702790.31</v>
      </c>
      <c r="N85" s="35">
        <v>1500.0220054640099</v>
      </c>
      <c r="O85" s="35">
        <v>1499.9485700668399</v>
      </c>
      <c r="P85" s="35">
        <v>1501.8947296352601</v>
      </c>
      <c r="Q85" s="35">
        <v>1500.97161148495</v>
      </c>
      <c r="R85" s="34">
        <v>702755.90404771897</v>
      </c>
      <c r="S85" s="34">
        <v>703530.72085869405</v>
      </c>
      <c r="T85" s="34">
        <v>703329.61171762203</v>
      </c>
      <c r="U85" s="16">
        <v>-4.8957411636932798E-5</v>
      </c>
      <c r="V85" s="16">
        <v>1.05297568742688E-3</v>
      </c>
      <c r="W85" s="16">
        <v>7.6707787968486099E-4</v>
      </c>
      <c r="X85" s="35">
        <v>1500.0220054640099</v>
      </c>
      <c r="Y85" s="35">
        <v>1499.9485700668399</v>
      </c>
      <c r="Z85" s="35">
        <v>1501.8947296352601</v>
      </c>
      <c r="AA85" s="35">
        <v>1500.97161148495</v>
      </c>
      <c r="AB85" s="34">
        <v>702755.90404771897</v>
      </c>
      <c r="AC85" s="34">
        <v>703530.72085869405</v>
      </c>
      <c r="AD85" s="34">
        <v>703329.61171762203</v>
      </c>
      <c r="AE85" s="16">
        <v>-4.8957411636932798E-5</v>
      </c>
      <c r="AF85" s="16">
        <v>1.05297568742688E-3</v>
      </c>
      <c r="AG85" s="16">
        <v>7.6707787968486099E-4</v>
      </c>
      <c r="AI85" s="12"/>
      <c r="AJ85">
        <f>IF($AG85&lt;AI$21,1,0)</f>
        <v>0</v>
      </c>
      <c r="AK85">
        <f>IF($AG85&gt;AI$22,1,0)</f>
        <v>1</v>
      </c>
      <c r="AL85">
        <f t="shared" si="2"/>
        <v>0</v>
      </c>
      <c r="AM85">
        <f>IF(F86+H86&gt;0,0,1)</f>
        <v>1</v>
      </c>
      <c r="AN85">
        <f t="shared" si="3"/>
        <v>0</v>
      </c>
      <c r="AO85" s="29">
        <f>AN85*D85</f>
        <v>0</v>
      </c>
      <c r="AP85" s="29">
        <f>-AN85*$E85</f>
        <v>0</v>
      </c>
      <c r="AQ85" s="29">
        <f t="shared" si="4"/>
        <v>0</v>
      </c>
      <c r="AR85" s="30">
        <f t="shared" si="5"/>
        <v>1.3566253434448321E-2</v>
      </c>
      <c r="AT85" s="12"/>
      <c r="AU85">
        <f>IF($AG85&gt;AT$21,1,0)</f>
        <v>0</v>
      </c>
      <c r="AV85">
        <f>IF($AG85&lt;AT$22,1,0)</f>
        <v>1</v>
      </c>
      <c r="AW85">
        <f t="shared" si="6"/>
        <v>0</v>
      </c>
      <c r="AX85">
        <f>IF(F86+H86&gt;0,0,1)</f>
        <v>1</v>
      </c>
      <c r="AY85">
        <f t="shared" si="7"/>
        <v>0</v>
      </c>
      <c r="AZ85" s="29">
        <f>-AY85*D85</f>
        <v>0</v>
      </c>
      <c r="BA85" s="29">
        <f>AY85*$E85</f>
        <v>0</v>
      </c>
      <c r="BB85" s="29">
        <f t="shared" si="8"/>
        <v>0</v>
      </c>
      <c r="BC85" s="30">
        <f t="shared" si="9"/>
        <v>0</v>
      </c>
      <c r="BE85" s="30">
        <f t="shared" si="10"/>
        <v>0</v>
      </c>
      <c r="BF85" s="30">
        <f t="shared" si="11"/>
        <v>1.3566253434448321E-2</v>
      </c>
      <c r="BH85" s="30"/>
    </row>
    <row r="86" spans="1:60" x14ac:dyDescent="0.25">
      <c r="A86" s="1">
        <v>46147</v>
      </c>
      <c r="B86" s="34">
        <v>465.52</v>
      </c>
      <c r="C86" s="34">
        <v>699964.56</v>
      </c>
      <c r="D86" s="16">
        <v>-6.4237298532593603E-3</v>
      </c>
      <c r="E86" s="16">
        <v>-4.0288633212665001E-3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465.52</v>
      </c>
      <c r="M86" s="34">
        <v>699964.56</v>
      </c>
      <c r="N86" s="35">
        <v>1503.61866300051</v>
      </c>
      <c r="O86" s="35">
        <v>1499.9485700668399</v>
      </c>
      <c r="P86" s="35">
        <v>1502.0538211220801</v>
      </c>
      <c r="Q86" s="35">
        <v>1501.1776450365801</v>
      </c>
      <c r="R86" s="34">
        <v>698256.05833751801</v>
      </c>
      <c r="S86" s="34">
        <v>699162.03453981003</v>
      </c>
      <c r="T86" s="34">
        <v>698732.30457847402</v>
      </c>
      <c r="U86" s="16">
        <v>-2.4438239436297801E-3</v>
      </c>
      <c r="V86" s="16">
        <v>-1.1471807502383799E-3</v>
      </c>
      <c r="W86" s="16">
        <v>-1.76200543740905E-3</v>
      </c>
      <c r="X86" s="35">
        <v>1503.61866300051</v>
      </c>
      <c r="Y86" s="35">
        <v>1499.9485700668399</v>
      </c>
      <c r="Z86" s="35">
        <v>1502.0538211220801</v>
      </c>
      <c r="AA86" s="35">
        <v>1501.1776450365801</v>
      </c>
      <c r="AB86" s="34">
        <v>698256.05833751801</v>
      </c>
      <c r="AC86" s="34">
        <v>699162.03453981003</v>
      </c>
      <c r="AD86" s="34">
        <v>698732.30457847402</v>
      </c>
      <c r="AE86" s="16">
        <v>-2.4438239436297801E-3</v>
      </c>
      <c r="AF86" s="16">
        <v>-1.1471807502383799E-3</v>
      </c>
      <c r="AG86" s="16">
        <v>-1.76200543740905E-3</v>
      </c>
      <c r="AI86" s="12"/>
      <c r="AJ86">
        <f>IF($AG86&lt;AI$21,1,0)</f>
        <v>0</v>
      </c>
      <c r="AK86">
        <f>IF($AG86&gt;AI$22,1,0)</f>
        <v>0</v>
      </c>
      <c r="AL86">
        <f t="shared" si="2"/>
        <v>0</v>
      </c>
      <c r="AM86">
        <f>IF(F87+H87&gt;0,0,1)</f>
        <v>1</v>
      </c>
      <c r="AN86">
        <f t="shared" si="3"/>
        <v>0</v>
      </c>
      <c r="AO86" s="29">
        <f>AN86*D86</f>
        <v>0</v>
      </c>
      <c r="AP86" s="29">
        <f>-AN86*$E86</f>
        <v>0</v>
      </c>
      <c r="AQ86" s="29">
        <f t="shared" si="4"/>
        <v>0</v>
      </c>
      <c r="AR86" s="30">
        <f t="shared" si="5"/>
        <v>1.3566253434448321E-2</v>
      </c>
      <c r="AT86" s="12"/>
      <c r="AU86">
        <f>IF($AG86&gt;AT$21,1,0)</f>
        <v>0</v>
      </c>
      <c r="AV86">
        <f>IF($AG86&lt;AT$22,1,0)</f>
        <v>1</v>
      </c>
      <c r="AW86">
        <f t="shared" si="6"/>
        <v>0</v>
      </c>
      <c r="AX86">
        <f>IF(F87+H87&gt;0,0,1)</f>
        <v>1</v>
      </c>
      <c r="AY86">
        <f t="shared" si="7"/>
        <v>0</v>
      </c>
      <c r="AZ86" s="29">
        <f>-AY86*D86</f>
        <v>0</v>
      </c>
      <c r="BA86" s="29">
        <f>AY86*$E86</f>
        <v>0</v>
      </c>
      <c r="BB86" s="29">
        <f t="shared" si="8"/>
        <v>0</v>
      </c>
      <c r="BC86" s="30">
        <f t="shared" si="9"/>
        <v>0</v>
      </c>
      <c r="BE86" s="30">
        <f t="shared" si="10"/>
        <v>0</v>
      </c>
      <c r="BF86" s="30">
        <f t="shared" si="11"/>
        <v>1.3566253434448321E-2</v>
      </c>
      <c r="BH86" s="30"/>
    </row>
    <row r="87" spans="1:60" x14ac:dyDescent="0.25">
      <c r="A87" s="1">
        <v>46148</v>
      </c>
      <c r="B87" s="34">
        <v>469.83</v>
      </c>
      <c r="C87" s="34">
        <v>705940</v>
      </c>
      <c r="D87" s="16">
        <v>9.2158667980376408E-3</v>
      </c>
      <c r="E87" s="16">
        <v>8.5005428557404904E-3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469.83</v>
      </c>
      <c r="M87" s="34">
        <v>705940</v>
      </c>
      <c r="N87" s="35">
        <v>1502.54347317114</v>
      </c>
      <c r="O87" s="35">
        <v>1499.9485700668399</v>
      </c>
      <c r="P87" s="35">
        <v>1501.2596080610299</v>
      </c>
      <c r="Q87" s="35">
        <v>1501.2123747139001</v>
      </c>
      <c r="R87" s="34">
        <v>704720.83667450596</v>
      </c>
      <c r="S87" s="34">
        <v>705709.94677778997</v>
      </c>
      <c r="T87" s="34">
        <v>705298.29296753695</v>
      </c>
      <c r="U87" s="16">
        <v>-1.72850000133262E-3</v>
      </c>
      <c r="V87" s="16">
        <v>-3.2593522887392899E-4</v>
      </c>
      <c r="W87" s="16">
        <v>-9.0942412757237003E-4</v>
      </c>
      <c r="X87" s="35">
        <v>1502.54347317114</v>
      </c>
      <c r="Y87" s="35">
        <v>1499.9485700668399</v>
      </c>
      <c r="Z87" s="35">
        <v>1501.2596080610299</v>
      </c>
      <c r="AA87" s="35">
        <v>1501.2123747139001</v>
      </c>
      <c r="AB87" s="34">
        <v>704720.83667450596</v>
      </c>
      <c r="AC87" s="34">
        <v>705709.94677778997</v>
      </c>
      <c r="AD87" s="34">
        <v>705298.29296753695</v>
      </c>
      <c r="AE87" s="16">
        <v>-1.72850000133262E-3</v>
      </c>
      <c r="AF87" s="16">
        <v>-3.2593522887392899E-4</v>
      </c>
      <c r="AG87" s="16">
        <v>-9.0942412757237003E-4</v>
      </c>
      <c r="AI87" s="12"/>
      <c r="AJ87">
        <f>IF($AG87&lt;AI$21,1,0)</f>
        <v>0</v>
      </c>
      <c r="AK87">
        <f>IF($AG87&gt;AI$22,1,0)</f>
        <v>1</v>
      </c>
      <c r="AL87">
        <f t="shared" ref="AL87:AL150" si="12">AN87</f>
        <v>0</v>
      </c>
      <c r="AM87">
        <f>IF(F88+H88&gt;0,0,1)</f>
        <v>1</v>
      </c>
      <c r="AN87">
        <f t="shared" ref="AN87:AN150" si="13">IF(AJ86,1,IF(AK86,0,AL86))*AM86</f>
        <v>0</v>
      </c>
      <c r="AO87" s="29">
        <f>AN87*D87</f>
        <v>0</v>
      </c>
      <c r="AP87" s="29">
        <f>-AN87*$E87</f>
        <v>0</v>
      </c>
      <c r="AQ87" s="29">
        <f t="shared" ref="AQ87:AQ150" si="14">AO87+AP87</f>
        <v>0</v>
      </c>
      <c r="AR87" s="30">
        <f t="shared" ref="AR87:AR150" si="15">AR86+AQ87</f>
        <v>1.3566253434448321E-2</v>
      </c>
      <c r="AT87" s="12"/>
      <c r="AU87">
        <f>IF($AG87&gt;AT$21,1,0)</f>
        <v>0</v>
      </c>
      <c r="AV87">
        <f>IF($AG87&lt;AT$22,1,0)</f>
        <v>1</v>
      </c>
      <c r="AW87">
        <f t="shared" ref="AW87:AW150" si="16">AY87</f>
        <v>0</v>
      </c>
      <c r="AX87">
        <f>IF(F88+H88&gt;0,0,1)</f>
        <v>1</v>
      </c>
      <c r="AY87">
        <f t="shared" ref="AY87:AY150" si="17">IF(AU86,1,IF(AV86,0,AW86))*AX86</f>
        <v>0</v>
      </c>
      <c r="AZ87" s="29">
        <f>-AY87*D87</f>
        <v>0</v>
      </c>
      <c r="BA87" s="29">
        <f>AY87*$E87</f>
        <v>0</v>
      </c>
      <c r="BB87" s="29">
        <f t="shared" ref="BB87:BB150" si="18">AZ87+BA87</f>
        <v>0</v>
      </c>
      <c r="BC87" s="30">
        <f t="shared" ref="BC87:BC150" si="19">BC86+BB87</f>
        <v>0</v>
      </c>
      <c r="BE87" s="30">
        <f t="shared" ref="BE87:BE150" si="20">AQ87+BB87</f>
        <v>0</v>
      </c>
      <c r="BF87" s="30">
        <f t="shared" ref="BF87:BF150" si="21">BF86+BE87</f>
        <v>1.3566253434448321E-2</v>
      </c>
      <c r="BH87" s="30"/>
    </row>
    <row r="88" spans="1:60" x14ac:dyDescent="0.25">
      <c r="A88" s="1">
        <v>46149</v>
      </c>
      <c r="B88" s="34">
        <v>475.08</v>
      </c>
      <c r="C88" s="34">
        <v>716250</v>
      </c>
      <c r="D88" s="16">
        <v>1.11122837595873E-2</v>
      </c>
      <c r="E88" s="16">
        <v>1.4499019982901901E-2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475.08</v>
      </c>
      <c r="M88" s="34">
        <v>716250</v>
      </c>
      <c r="N88" s="35">
        <v>1507.6408183884801</v>
      </c>
      <c r="O88" s="35">
        <v>1499.9485700668399</v>
      </c>
      <c r="P88" s="35">
        <v>1501.95143402909</v>
      </c>
      <c r="Q88" s="35">
        <v>1501.5861139020701</v>
      </c>
      <c r="R88" s="34">
        <v>712595.56666735699</v>
      </c>
      <c r="S88" s="34">
        <v>713218.41459763504</v>
      </c>
      <c r="T88" s="34">
        <v>713195.97497907898</v>
      </c>
      <c r="U88" s="16">
        <v>-5.1152362246471702E-3</v>
      </c>
      <c r="V88" s="16">
        <v>-4.2415626906793097E-3</v>
      </c>
      <c r="W88" s="16">
        <v>-4.2730256634611703E-3</v>
      </c>
      <c r="X88" s="35">
        <v>1507.6408183884801</v>
      </c>
      <c r="Y88" s="35">
        <v>1499.9485700668399</v>
      </c>
      <c r="Z88" s="35">
        <v>1501.95143402909</v>
      </c>
      <c r="AA88" s="35">
        <v>1501.5861139020701</v>
      </c>
      <c r="AB88" s="34">
        <v>712595.56666735699</v>
      </c>
      <c r="AC88" s="34">
        <v>713218.41459763504</v>
      </c>
      <c r="AD88" s="34">
        <v>713195.97497907898</v>
      </c>
      <c r="AE88" s="16">
        <v>-5.1152362246471702E-3</v>
      </c>
      <c r="AF88" s="16">
        <v>-4.2415626906793097E-3</v>
      </c>
      <c r="AG88" s="16">
        <v>-4.2730256634611703E-3</v>
      </c>
      <c r="AI88" s="12"/>
      <c r="AJ88">
        <f>IF($AG88&lt;AI$21,1,0)</f>
        <v>1</v>
      </c>
      <c r="AK88">
        <f>IF($AG88&gt;AI$22,1,0)</f>
        <v>0</v>
      </c>
      <c r="AL88">
        <f t="shared" si="12"/>
        <v>0</v>
      </c>
      <c r="AM88">
        <f>IF(F89+H89&gt;0,0,1)</f>
        <v>1</v>
      </c>
      <c r="AN88">
        <f t="shared" si="13"/>
        <v>0</v>
      </c>
      <c r="AO88" s="29">
        <f>AN88*D88</f>
        <v>0</v>
      </c>
      <c r="AP88" s="29">
        <f>-AN88*$E88</f>
        <v>0</v>
      </c>
      <c r="AQ88" s="29">
        <f t="shared" si="14"/>
        <v>0</v>
      </c>
      <c r="AR88" s="30">
        <f t="shared" si="15"/>
        <v>1.3566253434448321E-2</v>
      </c>
      <c r="AT88" s="12"/>
      <c r="AU88">
        <f>IF($AG88&gt;AT$21,1,0)</f>
        <v>0</v>
      </c>
      <c r="AV88">
        <f>IF($AG88&lt;AT$22,1,0)</f>
        <v>1</v>
      </c>
      <c r="AW88">
        <f t="shared" si="16"/>
        <v>0</v>
      </c>
      <c r="AX88">
        <f>IF(F89+H89&gt;0,0,1)</f>
        <v>1</v>
      </c>
      <c r="AY88">
        <f t="shared" si="17"/>
        <v>0</v>
      </c>
      <c r="AZ88" s="29">
        <f>-AY88*D88</f>
        <v>0</v>
      </c>
      <c r="BA88" s="29">
        <f>AY88*$E88</f>
        <v>0</v>
      </c>
      <c r="BB88" s="29">
        <f t="shared" si="18"/>
        <v>0</v>
      </c>
      <c r="BC88" s="30">
        <f t="shared" si="19"/>
        <v>0</v>
      </c>
      <c r="BE88" s="30">
        <f t="shared" si="20"/>
        <v>0</v>
      </c>
      <c r="BF88" s="30">
        <f t="shared" si="21"/>
        <v>1.3566253434448321E-2</v>
      </c>
      <c r="BH88" s="30"/>
    </row>
    <row r="89" spans="1:60" x14ac:dyDescent="0.25">
      <c r="A89" s="1">
        <v>46150</v>
      </c>
      <c r="B89" s="34">
        <v>475.94</v>
      </c>
      <c r="C89" s="34">
        <v>717386.81</v>
      </c>
      <c r="D89" s="16">
        <v>1.8085849601906E-3</v>
      </c>
      <c r="E89" s="16">
        <v>1.58591106246394E-3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475.94</v>
      </c>
      <c r="M89" s="34">
        <v>717386.81</v>
      </c>
      <c r="N89" s="35">
        <v>1507.3051435054799</v>
      </c>
      <c r="O89" s="35">
        <v>1499.9485700668399</v>
      </c>
      <c r="P89" s="35">
        <v>1502.5157504762899</v>
      </c>
      <c r="Q89" s="35">
        <v>1501.9354427589501</v>
      </c>
      <c r="R89" s="34">
        <v>713885.52243761497</v>
      </c>
      <c r="S89" s="34">
        <v>714838.76551180496</v>
      </c>
      <c r="T89" s="34">
        <v>714664.895050555</v>
      </c>
      <c r="U89" s="16">
        <v>-4.8925623269205796E-3</v>
      </c>
      <c r="V89" s="16">
        <v>-3.5581646076719401E-3</v>
      </c>
      <c r="W89" s="16">
        <v>-3.80142451235667E-3</v>
      </c>
      <c r="X89" s="35">
        <v>1507.3051435054799</v>
      </c>
      <c r="Y89" s="35">
        <v>1499.9485700668399</v>
      </c>
      <c r="Z89" s="35">
        <v>1502.5157504762899</v>
      </c>
      <c r="AA89" s="35">
        <v>1501.9354427589501</v>
      </c>
      <c r="AB89" s="34">
        <v>713885.52243761497</v>
      </c>
      <c r="AC89" s="34">
        <v>714838.76551180496</v>
      </c>
      <c r="AD89" s="34">
        <v>714664.895050555</v>
      </c>
      <c r="AE89" s="16">
        <v>-4.8925623269205796E-3</v>
      </c>
      <c r="AF89" s="16">
        <v>-3.5581646076719401E-3</v>
      </c>
      <c r="AG89" s="16">
        <v>-3.80142451235667E-3</v>
      </c>
      <c r="AI89" s="12"/>
      <c r="AJ89">
        <f>IF($AG89&lt;AI$21,1,0)</f>
        <v>0</v>
      </c>
      <c r="AK89">
        <f>IF($AG89&gt;AI$22,1,0)</f>
        <v>0</v>
      </c>
      <c r="AL89">
        <f t="shared" si="12"/>
        <v>1</v>
      </c>
      <c r="AM89">
        <f>IF(F90+H90&gt;0,0,1)</f>
        <v>1</v>
      </c>
      <c r="AN89">
        <f t="shared" si="13"/>
        <v>1</v>
      </c>
      <c r="AO89" s="29">
        <f>AN89*D89</f>
        <v>1.8085849601906E-3</v>
      </c>
      <c r="AP89" s="29">
        <f>-AN89*$E89</f>
        <v>-1.58591106246394E-3</v>
      </c>
      <c r="AQ89" s="29">
        <f t="shared" si="14"/>
        <v>2.2267389772665999E-4</v>
      </c>
      <c r="AR89" s="30">
        <f t="shared" si="15"/>
        <v>1.3788927332174981E-2</v>
      </c>
      <c r="AT89" s="12"/>
      <c r="AU89">
        <f>IF($AG89&gt;AT$21,1,0)</f>
        <v>0</v>
      </c>
      <c r="AV89">
        <f>IF($AG89&lt;AT$22,1,0)</f>
        <v>1</v>
      </c>
      <c r="AW89">
        <f t="shared" si="16"/>
        <v>0</v>
      </c>
      <c r="AX89">
        <f>IF(F90+H90&gt;0,0,1)</f>
        <v>1</v>
      </c>
      <c r="AY89">
        <f t="shared" si="17"/>
        <v>0</v>
      </c>
      <c r="AZ89" s="29">
        <f>-AY89*D89</f>
        <v>0</v>
      </c>
      <c r="BA89" s="29">
        <f>AY89*$E89</f>
        <v>0</v>
      </c>
      <c r="BB89" s="29">
        <f t="shared" si="18"/>
        <v>0</v>
      </c>
      <c r="BC89" s="30">
        <f t="shared" si="19"/>
        <v>0</v>
      </c>
      <c r="BE89" s="30">
        <f t="shared" si="20"/>
        <v>2.2267389772665999E-4</v>
      </c>
      <c r="BF89" s="30">
        <f t="shared" si="21"/>
        <v>1.3788927332174981E-2</v>
      </c>
      <c r="BH89" s="30"/>
    </row>
    <row r="90" spans="1:60" x14ac:dyDescent="0.25">
      <c r="A90" s="1">
        <v>46153</v>
      </c>
      <c r="B90" s="34">
        <v>479.55</v>
      </c>
      <c r="C90" s="34">
        <v>721000</v>
      </c>
      <c r="D90" s="16">
        <v>7.5563683077300098E-3</v>
      </c>
      <c r="E90" s="16">
        <v>5.0239581935357198E-3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479.55</v>
      </c>
      <c r="M90" s="34">
        <v>721000</v>
      </c>
      <c r="N90" s="35">
        <v>1503.4928578875999</v>
      </c>
      <c r="O90" s="35">
        <v>1499.9485700668399</v>
      </c>
      <c r="P90" s="35">
        <v>1502.9950969659601</v>
      </c>
      <c r="Q90" s="35">
        <v>1502.0616673189199</v>
      </c>
      <c r="R90" s="34">
        <v>719300.33677555597</v>
      </c>
      <c r="S90" s="34">
        <v>720531.42814090499</v>
      </c>
      <c r="T90" s="34">
        <v>720253.14157505601</v>
      </c>
      <c r="U90" s="16">
        <v>-2.3601522127264601E-3</v>
      </c>
      <c r="V90" s="16">
        <v>-6.5010289259121801E-4</v>
      </c>
      <c r="W90" s="16">
        <v>-1.0364015456429199E-3</v>
      </c>
      <c r="X90" s="35">
        <v>1503.4928578875999</v>
      </c>
      <c r="Y90" s="35">
        <v>1499.9485700668399</v>
      </c>
      <c r="Z90" s="35">
        <v>1502.9950969659601</v>
      </c>
      <c r="AA90" s="35">
        <v>1502.0616673189199</v>
      </c>
      <c r="AB90" s="34">
        <v>719300.33677555597</v>
      </c>
      <c r="AC90" s="34">
        <v>720531.42814090499</v>
      </c>
      <c r="AD90" s="34">
        <v>720253.14157505601</v>
      </c>
      <c r="AE90" s="16">
        <v>-2.3601522127264601E-3</v>
      </c>
      <c r="AF90" s="16">
        <v>-6.5010289259121801E-4</v>
      </c>
      <c r="AG90" s="16">
        <v>-1.0364015456429199E-3</v>
      </c>
      <c r="AI90" s="12"/>
      <c r="AJ90">
        <f>IF($AG90&lt;AI$21,1,0)</f>
        <v>0</v>
      </c>
      <c r="AK90">
        <f>IF($AG90&gt;AI$22,1,0)</f>
        <v>0</v>
      </c>
      <c r="AL90">
        <f t="shared" si="12"/>
        <v>1</v>
      </c>
      <c r="AM90">
        <f>IF(F91+H91&gt;0,0,1)</f>
        <v>1</v>
      </c>
      <c r="AN90">
        <f t="shared" si="13"/>
        <v>1</v>
      </c>
      <c r="AO90" s="29">
        <f>AN90*D90</f>
        <v>7.5563683077300098E-3</v>
      </c>
      <c r="AP90" s="29">
        <f>-AN90*$E90</f>
        <v>-5.0239581935357198E-3</v>
      </c>
      <c r="AQ90" s="29">
        <f t="shared" si="14"/>
        <v>2.53241011419429E-3</v>
      </c>
      <c r="AR90" s="30">
        <f t="shared" si="15"/>
        <v>1.6321337446369273E-2</v>
      </c>
      <c r="AT90" s="12"/>
      <c r="AU90">
        <f>IF($AG90&gt;AT$21,1,0)</f>
        <v>0</v>
      </c>
      <c r="AV90">
        <f>IF($AG90&lt;AT$22,1,0)</f>
        <v>1</v>
      </c>
      <c r="AW90">
        <f t="shared" si="16"/>
        <v>0</v>
      </c>
      <c r="AX90">
        <f>IF(F91+H91&gt;0,0,1)</f>
        <v>1</v>
      </c>
      <c r="AY90">
        <f t="shared" si="17"/>
        <v>0</v>
      </c>
      <c r="AZ90" s="29">
        <f>-AY90*D90</f>
        <v>0</v>
      </c>
      <c r="BA90" s="29">
        <f>AY90*$E90</f>
        <v>0</v>
      </c>
      <c r="BB90" s="29">
        <f t="shared" si="18"/>
        <v>0</v>
      </c>
      <c r="BC90" s="30">
        <f t="shared" si="19"/>
        <v>0</v>
      </c>
      <c r="BE90" s="30">
        <f t="shared" si="20"/>
        <v>2.53241011419429E-3</v>
      </c>
      <c r="BF90" s="30">
        <f t="shared" si="21"/>
        <v>1.6321337446369273E-2</v>
      </c>
      <c r="BH90" s="30"/>
    </row>
    <row r="91" spans="1:60" x14ac:dyDescent="0.25">
      <c r="A91" s="1">
        <v>46154</v>
      </c>
      <c r="B91" s="34">
        <v>484.96</v>
      </c>
      <c r="C91" s="34">
        <v>728500</v>
      </c>
      <c r="D91" s="16">
        <v>1.12182491355328E-2</v>
      </c>
      <c r="E91" s="16">
        <v>1.03484883503104E-2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484.96</v>
      </c>
      <c r="M91" s="34">
        <v>728500</v>
      </c>
      <c r="N91" s="35">
        <v>1502.1857472781201</v>
      </c>
      <c r="O91" s="35">
        <v>1499.9485700668399</v>
      </c>
      <c r="P91" s="35">
        <v>1503.1488398383301</v>
      </c>
      <c r="Q91" s="35">
        <v>1502.1214101420501</v>
      </c>
      <c r="R91" s="34">
        <v>727415.05853961699</v>
      </c>
      <c r="S91" s="34">
        <v>728892.50222461496</v>
      </c>
      <c r="T91" s="34">
        <v>728439.82618298498</v>
      </c>
      <c r="U91" s="16">
        <v>-1.4903914275040901E-3</v>
      </c>
      <c r="V91" s="16">
        <v>5.3863627472432597E-4</v>
      </c>
      <c r="W91" s="16">
        <v>-8.2603023085992301E-5</v>
      </c>
      <c r="X91" s="35">
        <v>1502.1857472781201</v>
      </c>
      <c r="Y91" s="35">
        <v>1499.9485700668399</v>
      </c>
      <c r="Z91" s="35">
        <v>1503.1488398383301</v>
      </c>
      <c r="AA91" s="35">
        <v>1502.1214101420501</v>
      </c>
      <c r="AB91" s="34">
        <v>727415.05853961699</v>
      </c>
      <c r="AC91" s="34">
        <v>728892.50222461496</v>
      </c>
      <c r="AD91" s="34">
        <v>728439.82618298498</v>
      </c>
      <c r="AE91" s="16">
        <v>-1.4903914275040901E-3</v>
      </c>
      <c r="AF91" s="16">
        <v>5.3863627472432597E-4</v>
      </c>
      <c r="AG91" s="16">
        <v>-8.2603023085992301E-5</v>
      </c>
      <c r="AI91" s="12"/>
      <c r="AJ91">
        <f>IF($AG91&lt;AI$21,1,0)</f>
        <v>0</v>
      </c>
      <c r="AK91">
        <f>IF($AG91&gt;AI$22,1,0)</f>
        <v>1</v>
      </c>
      <c r="AL91">
        <f t="shared" si="12"/>
        <v>1</v>
      </c>
      <c r="AM91">
        <f>IF(F92+H92&gt;0,0,1)</f>
        <v>1</v>
      </c>
      <c r="AN91">
        <f t="shared" si="13"/>
        <v>1</v>
      </c>
      <c r="AO91" s="29">
        <f>AN91*D91</f>
        <v>1.12182491355328E-2</v>
      </c>
      <c r="AP91" s="29">
        <f>-AN91*$E91</f>
        <v>-1.03484883503104E-2</v>
      </c>
      <c r="AQ91" s="29">
        <f t="shared" si="14"/>
        <v>8.6976078522239993E-4</v>
      </c>
      <c r="AR91" s="30">
        <f t="shared" si="15"/>
        <v>1.7191098231591671E-2</v>
      </c>
      <c r="AT91" s="12"/>
      <c r="AU91">
        <f>IF($AG91&gt;AT$21,1,0)</f>
        <v>0</v>
      </c>
      <c r="AV91">
        <f>IF($AG91&lt;AT$22,1,0)</f>
        <v>1</v>
      </c>
      <c r="AW91">
        <f t="shared" si="16"/>
        <v>0</v>
      </c>
      <c r="AX91">
        <f>IF(F92+H92&gt;0,0,1)</f>
        <v>1</v>
      </c>
      <c r="AY91">
        <f t="shared" si="17"/>
        <v>0</v>
      </c>
      <c r="AZ91" s="29">
        <f>-AY91*D91</f>
        <v>0</v>
      </c>
      <c r="BA91" s="29">
        <f>AY91*$E91</f>
        <v>0</v>
      </c>
      <c r="BB91" s="29">
        <f t="shared" si="18"/>
        <v>0</v>
      </c>
      <c r="BC91" s="30">
        <f t="shared" si="19"/>
        <v>0</v>
      </c>
      <c r="BE91" s="30">
        <f t="shared" si="20"/>
        <v>8.6976078522239993E-4</v>
      </c>
      <c r="BF91" s="30">
        <f t="shared" si="21"/>
        <v>1.7191098231591671E-2</v>
      </c>
      <c r="BH91" s="30"/>
    </row>
    <row r="92" spans="1:60" x14ac:dyDescent="0.25">
      <c r="A92" s="1">
        <v>46155</v>
      </c>
      <c r="B92" s="34">
        <v>485.52</v>
      </c>
      <c r="C92" s="34">
        <v>727500.06</v>
      </c>
      <c r="D92" s="16">
        <v>1.1540682181066201E-3</v>
      </c>
      <c r="E92" s="16">
        <v>-1.3735441153884601E-3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485.52</v>
      </c>
      <c r="M92" s="34">
        <v>727500.06</v>
      </c>
      <c r="N92" s="35">
        <v>1498.3935986159099</v>
      </c>
      <c r="O92" s="35">
        <v>1499.9485700668399</v>
      </c>
      <c r="P92" s="35">
        <v>1503.00291214049</v>
      </c>
      <c r="Q92" s="35">
        <v>1502.0305962847499</v>
      </c>
      <c r="R92" s="34">
        <v>728255.02973885497</v>
      </c>
      <c r="S92" s="34">
        <v>729808.82471830701</v>
      </c>
      <c r="T92" s="34">
        <v>729309.98705217196</v>
      </c>
      <c r="U92" s="16">
        <v>1.0372209059912999E-3</v>
      </c>
      <c r="V92" s="16">
        <v>3.1685343774525902E-3</v>
      </c>
      <c r="W92" s="16">
        <v>2.48478240119793E-3</v>
      </c>
      <c r="X92" s="35">
        <v>1498.3935986159099</v>
      </c>
      <c r="Y92" s="35">
        <v>1499.9485700668399</v>
      </c>
      <c r="Z92" s="35">
        <v>1503.00291214049</v>
      </c>
      <c r="AA92" s="35">
        <v>1502.0305962847499</v>
      </c>
      <c r="AB92" s="34">
        <v>728255.02973885497</v>
      </c>
      <c r="AC92" s="34">
        <v>729808.82471830701</v>
      </c>
      <c r="AD92" s="34">
        <v>729309.98705217196</v>
      </c>
      <c r="AE92" s="16">
        <v>1.0372209059912999E-3</v>
      </c>
      <c r="AF92" s="16">
        <v>3.1685343774525902E-3</v>
      </c>
      <c r="AG92" s="16">
        <v>2.48478240119793E-3</v>
      </c>
      <c r="AI92" s="12"/>
      <c r="AJ92">
        <f>IF($AG92&lt;AI$21,1,0)</f>
        <v>0</v>
      </c>
      <c r="AK92">
        <f>IF($AG92&gt;AI$22,1,0)</f>
        <v>1</v>
      </c>
      <c r="AL92">
        <f t="shared" si="12"/>
        <v>0</v>
      </c>
      <c r="AM92">
        <f>IF(F93+H93&gt;0,0,1)</f>
        <v>1</v>
      </c>
      <c r="AN92">
        <f t="shared" si="13"/>
        <v>0</v>
      </c>
      <c r="AO92" s="29">
        <f>AN92*D92</f>
        <v>0</v>
      </c>
      <c r="AP92" s="29">
        <f>-AN92*$E92</f>
        <v>0</v>
      </c>
      <c r="AQ92" s="29">
        <f t="shared" si="14"/>
        <v>0</v>
      </c>
      <c r="AR92" s="30">
        <f t="shared" si="15"/>
        <v>1.7191098231591671E-2</v>
      </c>
      <c r="AT92" s="12"/>
      <c r="AU92">
        <f>IF($AG92&gt;AT$21,1,0)</f>
        <v>0</v>
      </c>
      <c r="AV92">
        <f>IF($AG92&lt;AT$22,1,0)</f>
        <v>0</v>
      </c>
      <c r="AW92">
        <f t="shared" si="16"/>
        <v>0</v>
      </c>
      <c r="AX92">
        <f>IF(F93+H93&gt;0,0,1)</f>
        <v>1</v>
      </c>
      <c r="AY92">
        <f t="shared" si="17"/>
        <v>0</v>
      </c>
      <c r="AZ92" s="29">
        <f>-AY92*D92</f>
        <v>0</v>
      </c>
      <c r="BA92" s="29">
        <f>AY92*$E92</f>
        <v>0</v>
      </c>
      <c r="BB92" s="29">
        <f t="shared" si="18"/>
        <v>0</v>
      </c>
      <c r="BC92" s="30">
        <f t="shared" si="19"/>
        <v>0</v>
      </c>
      <c r="BE92" s="30">
        <f t="shared" si="20"/>
        <v>0</v>
      </c>
      <c r="BF92" s="30">
        <f t="shared" si="21"/>
        <v>1.7191098231591671E-2</v>
      </c>
      <c r="BH92" s="30"/>
    </row>
    <row r="93" spans="1:60" x14ac:dyDescent="0.25">
      <c r="A93" s="1">
        <v>46156</v>
      </c>
      <c r="B93" s="34">
        <v>484.06</v>
      </c>
      <c r="C93" s="34">
        <v>727180.06</v>
      </c>
      <c r="D93" s="16">
        <v>-3.0116155520856398E-3</v>
      </c>
      <c r="E93" s="16">
        <v>-4.3995927456785399E-4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484.06</v>
      </c>
      <c r="M93" s="34">
        <v>727180.06</v>
      </c>
      <c r="N93" s="35">
        <v>1502.2519109201301</v>
      </c>
      <c r="O93" s="35">
        <v>1499.9485700668399</v>
      </c>
      <c r="P93" s="35">
        <v>1502.91138025953</v>
      </c>
      <c r="Q93" s="35">
        <v>1502.14108709932</v>
      </c>
      <c r="R93" s="34">
        <v>726065.10482655698</v>
      </c>
      <c r="S93" s="34">
        <v>727543.58965072897</v>
      </c>
      <c r="T93" s="34">
        <v>727072.93043759896</v>
      </c>
      <c r="U93" s="16">
        <v>-1.5344353715266699E-3</v>
      </c>
      <c r="V93" s="16">
        <v>4.9979205106651396E-4</v>
      </c>
      <c r="W93" s="16">
        <v>-1.4733277263196399E-4</v>
      </c>
      <c r="X93" s="35">
        <v>1502.2519109201301</v>
      </c>
      <c r="Y93" s="35">
        <v>1499.9485700668399</v>
      </c>
      <c r="Z93" s="35">
        <v>1502.91138025953</v>
      </c>
      <c r="AA93" s="35">
        <v>1502.14108709932</v>
      </c>
      <c r="AB93" s="34">
        <v>726065.10482655698</v>
      </c>
      <c r="AC93" s="34">
        <v>727543.58965072897</v>
      </c>
      <c r="AD93" s="34">
        <v>727072.93043759896</v>
      </c>
      <c r="AE93" s="16">
        <v>-1.5344353715266699E-3</v>
      </c>
      <c r="AF93" s="16">
        <v>4.9979205106651396E-4</v>
      </c>
      <c r="AG93" s="16">
        <v>-1.4733277263196399E-4</v>
      </c>
      <c r="AI93" s="12"/>
      <c r="AJ93">
        <f>IF($AG93&lt;AI$21,1,0)</f>
        <v>0</v>
      </c>
      <c r="AK93">
        <f>IF($AG93&gt;AI$22,1,0)</f>
        <v>1</v>
      </c>
      <c r="AL93">
        <f t="shared" si="12"/>
        <v>0</v>
      </c>
      <c r="AM93">
        <f>IF(F94+H94&gt;0,0,1)</f>
        <v>1</v>
      </c>
      <c r="AN93">
        <f t="shared" si="13"/>
        <v>0</v>
      </c>
      <c r="AO93" s="29">
        <f>AN93*D93</f>
        <v>0</v>
      </c>
      <c r="AP93" s="29">
        <f>-AN93*$E93</f>
        <v>0</v>
      </c>
      <c r="AQ93" s="29">
        <f t="shared" si="14"/>
        <v>0</v>
      </c>
      <c r="AR93" s="30">
        <f t="shared" si="15"/>
        <v>1.7191098231591671E-2</v>
      </c>
      <c r="AT93" s="12"/>
      <c r="AU93">
        <f>IF($AG93&gt;AT$21,1,0)</f>
        <v>0</v>
      </c>
      <c r="AV93">
        <f>IF($AG93&lt;AT$22,1,0)</f>
        <v>1</v>
      </c>
      <c r="AW93">
        <f t="shared" si="16"/>
        <v>0</v>
      </c>
      <c r="AX93">
        <f>IF(F94+H94&gt;0,0,1)</f>
        <v>1</v>
      </c>
      <c r="AY93">
        <f t="shared" si="17"/>
        <v>0</v>
      </c>
      <c r="AZ93" s="29">
        <f>-AY93*D93</f>
        <v>0</v>
      </c>
      <c r="BA93" s="29">
        <f>AY93*$E93</f>
        <v>0</v>
      </c>
      <c r="BB93" s="29">
        <f t="shared" si="18"/>
        <v>0</v>
      </c>
      <c r="BC93" s="30">
        <f t="shared" si="19"/>
        <v>0</v>
      </c>
      <c r="BE93" s="30">
        <f t="shared" si="20"/>
        <v>0</v>
      </c>
      <c r="BF93" s="30">
        <f t="shared" si="21"/>
        <v>1.7191098231591671E-2</v>
      </c>
      <c r="BH93" s="30"/>
    </row>
    <row r="94" spans="1:60" x14ac:dyDescent="0.25">
      <c r="A94" s="1">
        <v>46157</v>
      </c>
      <c r="B94" s="34">
        <v>482.7</v>
      </c>
      <c r="C94" s="34">
        <v>723821</v>
      </c>
      <c r="D94" s="16">
        <v>-2.8135233090668902E-3</v>
      </c>
      <c r="E94" s="16">
        <v>-4.6299979968939297E-3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482.7</v>
      </c>
      <c r="M94" s="34">
        <v>723821</v>
      </c>
      <c r="N94" s="35">
        <v>1499.52558524963</v>
      </c>
      <c r="O94" s="35">
        <v>1499.9485700668399</v>
      </c>
      <c r="P94" s="35">
        <v>1502.6979803480999</v>
      </c>
      <c r="Q94" s="35">
        <v>1502.1501521934899</v>
      </c>
      <c r="R94" s="34">
        <v>724025.17477126606</v>
      </c>
      <c r="S94" s="34">
        <v>725455.32325127895</v>
      </c>
      <c r="T94" s="34">
        <v>725083.50274284405</v>
      </c>
      <c r="U94" s="16">
        <v>2.8203931630029302E-4</v>
      </c>
      <c r="V94" s="16">
        <v>2.2553655473863598E-3</v>
      </c>
      <c r="W94" s="16">
        <v>1.7427001710239899E-3</v>
      </c>
      <c r="X94" s="35">
        <v>1499.52558524963</v>
      </c>
      <c r="Y94" s="35">
        <v>1499.9485700668399</v>
      </c>
      <c r="Z94" s="35">
        <v>1502.6979803480999</v>
      </c>
      <c r="AA94" s="35">
        <v>1502.1501521934899</v>
      </c>
      <c r="AB94" s="34">
        <v>724025.17477126606</v>
      </c>
      <c r="AC94" s="34">
        <v>725455.32325127895</v>
      </c>
      <c r="AD94" s="34">
        <v>725083.50274284405</v>
      </c>
      <c r="AE94" s="16">
        <v>2.8203931630029302E-4</v>
      </c>
      <c r="AF94" s="16">
        <v>2.2553655473863598E-3</v>
      </c>
      <c r="AG94" s="16">
        <v>1.7427001710239899E-3</v>
      </c>
      <c r="AI94" s="12"/>
      <c r="AJ94">
        <f>IF($AG94&lt;AI$21,1,0)</f>
        <v>0</v>
      </c>
      <c r="AK94">
        <f>IF($AG94&gt;AI$22,1,0)</f>
        <v>1</v>
      </c>
      <c r="AL94">
        <f t="shared" si="12"/>
        <v>0</v>
      </c>
      <c r="AM94">
        <f>IF(F95+H95&gt;0,0,1)</f>
        <v>1</v>
      </c>
      <c r="AN94">
        <f t="shared" si="13"/>
        <v>0</v>
      </c>
      <c r="AO94" s="29">
        <f>AN94*D94</f>
        <v>0</v>
      </c>
      <c r="AP94" s="29">
        <f>-AN94*$E94</f>
        <v>0</v>
      </c>
      <c r="AQ94" s="29">
        <f t="shared" si="14"/>
        <v>0</v>
      </c>
      <c r="AR94" s="30">
        <f t="shared" si="15"/>
        <v>1.7191098231591671E-2</v>
      </c>
      <c r="AT94" s="12"/>
      <c r="AU94">
        <f>IF($AG94&gt;AT$21,1,0)</f>
        <v>0</v>
      </c>
      <c r="AV94">
        <f>IF($AG94&lt;AT$22,1,0)</f>
        <v>0</v>
      </c>
      <c r="AW94">
        <f t="shared" si="16"/>
        <v>0</v>
      </c>
      <c r="AX94">
        <f>IF(F95+H95&gt;0,0,1)</f>
        <v>1</v>
      </c>
      <c r="AY94">
        <f t="shared" si="17"/>
        <v>0</v>
      </c>
      <c r="AZ94" s="29">
        <f>-AY94*D94</f>
        <v>0</v>
      </c>
      <c r="BA94" s="29">
        <f>AY94*$E94</f>
        <v>0</v>
      </c>
      <c r="BB94" s="29">
        <f t="shared" si="18"/>
        <v>0</v>
      </c>
      <c r="BC94" s="30">
        <f t="shared" si="19"/>
        <v>0</v>
      </c>
      <c r="BE94" s="30">
        <f t="shared" si="20"/>
        <v>0</v>
      </c>
      <c r="BF94" s="30">
        <f t="shared" si="21"/>
        <v>1.7191098231591671E-2</v>
      </c>
      <c r="BH94" s="30"/>
    </row>
    <row r="95" spans="1:60" x14ac:dyDescent="0.25">
      <c r="A95" s="1">
        <v>46160</v>
      </c>
      <c r="B95" s="34">
        <v>488.38</v>
      </c>
      <c r="C95" s="34">
        <v>730000.06</v>
      </c>
      <c r="D95" s="16">
        <v>1.1698448690676599E-2</v>
      </c>
      <c r="E95" s="16">
        <v>8.5004920858051392E-3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488.38</v>
      </c>
      <c r="M95" s="34">
        <v>730000.06</v>
      </c>
      <c r="N95" s="35">
        <v>1494.7378271018399</v>
      </c>
      <c r="O95" s="35">
        <v>1499.9485700668399</v>
      </c>
      <c r="P95" s="35">
        <v>1502.16956251188</v>
      </c>
      <c r="Q95" s="35">
        <v>1502.0321460735699</v>
      </c>
      <c r="R95" s="34">
        <v>732544.88264924602</v>
      </c>
      <c r="S95" s="34">
        <v>733887.639642408</v>
      </c>
      <c r="T95" s="34">
        <v>733620.091328257</v>
      </c>
      <c r="U95" s="16">
        <v>3.4799959211719899E-3</v>
      </c>
      <c r="V95" s="16">
        <v>5.3113210561816001E-3</v>
      </c>
      <c r="W95" s="16">
        <v>4.9466915397997201E-3</v>
      </c>
      <c r="X95" s="35">
        <v>1494.7378271018399</v>
      </c>
      <c r="Y95" s="35">
        <v>1499.9485700668399</v>
      </c>
      <c r="Z95" s="35">
        <v>1502.16956251188</v>
      </c>
      <c r="AA95" s="35">
        <v>1502.0321460735699</v>
      </c>
      <c r="AB95" s="34">
        <v>732544.88264924602</v>
      </c>
      <c r="AC95" s="34">
        <v>733887.639642408</v>
      </c>
      <c r="AD95" s="34">
        <v>733620.091328257</v>
      </c>
      <c r="AE95" s="16">
        <v>3.4799959211719899E-3</v>
      </c>
      <c r="AF95" s="16">
        <v>5.3113210561816001E-3</v>
      </c>
      <c r="AG95" s="16">
        <v>4.9466915397997201E-3</v>
      </c>
      <c r="AI95" s="12"/>
      <c r="AJ95">
        <f>IF($AG95&lt;AI$21,1,0)</f>
        <v>0</v>
      </c>
      <c r="AK95">
        <f>IF($AG95&gt;AI$22,1,0)</f>
        <v>1</v>
      </c>
      <c r="AL95">
        <f t="shared" si="12"/>
        <v>0</v>
      </c>
      <c r="AM95">
        <f>IF(F96+H96&gt;0,0,1)</f>
        <v>1</v>
      </c>
      <c r="AN95">
        <f t="shared" si="13"/>
        <v>0</v>
      </c>
      <c r="AO95" s="29">
        <f>AN95*D95</f>
        <v>0</v>
      </c>
      <c r="AP95" s="29">
        <f>-AN95*$E95</f>
        <v>0</v>
      </c>
      <c r="AQ95" s="29">
        <f t="shared" si="14"/>
        <v>0</v>
      </c>
      <c r="AR95" s="30">
        <f t="shared" si="15"/>
        <v>1.7191098231591671E-2</v>
      </c>
      <c r="AT95" s="12"/>
      <c r="AU95">
        <f>IF($AG95&gt;AT$21,1,0)</f>
        <v>1</v>
      </c>
      <c r="AV95">
        <f>IF($AG95&lt;AT$22,1,0)</f>
        <v>0</v>
      </c>
      <c r="AW95">
        <f t="shared" si="16"/>
        <v>0</v>
      </c>
      <c r="AX95">
        <f>IF(F96+H96&gt;0,0,1)</f>
        <v>1</v>
      </c>
      <c r="AY95">
        <f t="shared" si="17"/>
        <v>0</v>
      </c>
      <c r="AZ95" s="29">
        <f>-AY95*D95</f>
        <v>0</v>
      </c>
      <c r="BA95" s="29">
        <f>AY95*$E95</f>
        <v>0</v>
      </c>
      <c r="BB95" s="29">
        <f t="shared" si="18"/>
        <v>0</v>
      </c>
      <c r="BC95" s="30">
        <f t="shared" si="19"/>
        <v>0</v>
      </c>
      <c r="BE95" s="30">
        <f t="shared" si="20"/>
        <v>0</v>
      </c>
      <c r="BF95" s="30">
        <f t="shared" si="21"/>
        <v>1.7191098231591671E-2</v>
      </c>
      <c r="BH95" s="30"/>
    </row>
    <row r="96" spans="1:60" x14ac:dyDescent="0.25">
      <c r="A96" s="1">
        <v>46161</v>
      </c>
      <c r="B96" s="34">
        <v>480.46</v>
      </c>
      <c r="C96" s="34">
        <v>720600</v>
      </c>
      <c r="D96" s="16">
        <v>-1.6349813030074701E-2</v>
      </c>
      <c r="E96" s="16">
        <v>-1.2960418020221401E-2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480.46</v>
      </c>
      <c r="M96" s="34">
        <v>720600</v>
      </c>
      <c r="N96" s="35">
        <v>1499.8126795154601</v>
      </c>
      <c r="O96" s="35">
        <v>1499.9485700668399</v>
      </c>
      <c r="P96" s="35">
        <v>1501.7889641633799</v>
      </c>
      <c r="Q96" s="35">
        <v>1501.9213926427301</v>
      </c>
      <c r="R96" s="34">
        <v>720665.28997431695</v>
      </c>
      <c r="S96" s="34">
        <v>721732.388004462</v>
      </c>
      <c r="T96" s="34">
        <v>721666.36490251101</v>
      </c>
      <c r="U96" s="16">
        <v>9.0600911318717599E-5</v>
      </c>
      <c r="V96" s="16">
        <v>1.5702181363278899E-3</v>
      </c>
      <c r="W96" s="16">
        <v>1.4787353054561401E-3</v>
      </c>
      <c r="X96" s="35">
        <v>1499.8126795154601</v>
      </c>
      <c r="Y96" s="35">
        <v>1499.9485700668399</v>
      </c>
      <c r="Z96" s="35">
        <v>1501.7889641633799</v>
      </c>
      <c r="AA96" s="35">
        <v>1501.9213926427301</v>
      </c>
      <c r="AB96" s="34">
        <v>720665.28997431695</v>
      </c>
      <c r="AC96" s="34">
        <v>721732.388004462</v>
      </c>
      <c r="AD96" s="34">
        <v>721666.36490251101</v>
      </c>
      <c r="AE96" s="16">
        <v>9.0600911318717599E-5</v>
      </c>
      <c r="AF96" s="16">
        <v>1.5702181363278899E-3</v>
      </c>
      <c r="AG96" s="16">
        <v>1.4787353054561401E-3</v>
      </c>
      <c r="AI96" s="12"/>
      <c r="AJ96">
        <f>IF($AG96&lt;AI$21,1,0)</f>
        <v>0</v>
      </c>
      <c r="AK96">
        <f>IF($AG96&gt;AI$22,1,0)</f>
        <v>1</v>
      </c>
      <c r="AL96">
        <f t="shared" si="12"/>
        <v>0</v>
      </c>
      <c r="AM96">
        <f>IF(F97+H97&gt;0,0,1)</f>
        <v>1</v>
      </c>
      <c r="AN96">
        <f t="shared" si="13"/>
        <v>0</v>
      </c>
      <c r="AO96" s="29">
        <f>AN96*D96</f>
        <v>0</v>
      </c>
      <c r="AP96" s="29">
        <f>-AN96*$E96</f>
        <v>0</v>
      </c>
      <c r="AQ96" s="29">
        <f t="shared" si="14"/>
        <v>0</v>
      </c>
      <c r="AR96" s="30">
        <f t="shared" si="15"/>
        <v>1.7191098231591671E-2</v>
      </c>
      <c r="AT96" s="12"/>
      <c r="AU96">
        <f>IF($AG96&gt;AT$21,1,0)</f>
        <v>0</v>
      </c>
      <c r="AV96">
        <f>IF($AG96&lt;AT$22,1,0)</f>
        <v>0</v>
      </c>
      <c r="AW96">
        <f t="shared" si="16"/>
        <v>1</v>
      </c>
      <c r="AX96">
        <f>IF(F97+H97&gt;0,0,1)</f>
        <v>1</v>
      </c>
      <c r="AY96">
        <f t="shared" si="17"/>
        <v>1</v>
      </c>
      <c r="AZ96" s="29">
        <f>-AY96*D96</f>
        <v>1.6349813030074701E-2</v>
      </c>
      <c r="BA96" s="29">
        <f>AY96*$E96</f>
        <v>-1.2960418020221401E-2</v>
      </c>
      <c r="BB96" s="29">
        <f t="shared" si="18"/>
        <v>3.3893950098533004E-3</v>
      </c>
      <c r="BC96" s="30">
        <f t="shared" si="19"/>
        <v>3.3893950098533004E-3</v>
      </c>
      <c r="BE96" s="30">
        <f t="shared" si="20"/>
        <v>3.3893950098533004E-3</v>
      </c>
      <c r="BF96" s="30">
        <f t="shared" si="21"/>
        <v>2.0580493241444973E-2</v>
      </c>
      <c r="BH96" s="30"/>
    </row>
    <row r="97" spans="1:60" x14ac:dyDescent="0.25">
      <c r="A97" s="1">
        <v>46162</v>
      </c>
      <c r="B97" s="34">
        <v>480.9</v>
      </c>
      <c r="C97" s="34">
        <v>720840</v>
      </c>
      <c r="D97" s="16">
        <v>9.1536995656790103E-4</v>
      </c>
      <c r="E97" s="16">
        <v>3.3300033607760901E-4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480.9</v>
      </c>
      <c r="M97" s="34">
        <v>720840</v>
      </c>
      <c r="N97" s="35">
        <v>1498.93948845913</v>
      </c>
      <c r="O97" s="35">
        <v>1499.9485700668399</v>
      </c>
      <c r="P97" s="35">
        <v>1501.42856569218</v>
      </c>
      <c r="Q97" s="35">
        <v>1501.3440868765999</v>
      </c>
      <c r="R97" s="34">
        <v>721325.26734514604</v>
      </c>
      <c r="S97" s="34">
        <v>722210.31286617101</v>
      </c>
      <c r="T97" s="34">
        <v>722273.99772189104</v>
      </c>
      <c r="U97" s="16">
        <v>6.7297053180910397E-4</v>
      </c>
      <c r="V97" s="16">
        <v>1.8991898838704301E-3</v>
      </c>
      <c r="W97" s="16">
        <v>1.9873664812825498E-3</v>
      </c>
      <c r="X97" s="35">
        <v>1498.93948845913</v>
      </c>
      <c r="Y97" s="35">
        <v>1499.9485700668399</v>
      </c>
      <c r="Z97" s="35">
        <v>1501.42856569218</v>
      </c>
      <c r="AA97" s="35">
        <v>1501.3440868765999</v>
      </c>
      <c r="AB97" s="34">
        <v>721325.26734514604</v>
      </c>
      <c r="AC97" s="34">
        <v>722210.31286617101</v>
      </c>
      <c r="AD97" s="34">
        <v>722273.99772189104</v>
      </c>
      <c r="AE97" s="16">
        <v>6.7297053180910397E-4</v>
      </c>
      <c r="AF97" s="16">
        <v>1.8991898838704301E-3</v>
      </c>
      <c r="AG97" s="16">
        <v>1.9873664812825498E-3</v>
      </c>
      <c r="AI97" s="12"/>
      <c r="AJ97">
        <f>IF($AG97&lt;AI$21,1,0)</f>
        <v>0</v>
      </c>
      <c r="AK97">
        <f>IF($AG97&gt;AI$22,1,0)</f>
        <v>1</v>
      </c>
      <c r="AL97">
        <f t="shared" si="12"/>
        <v>0</v>
      </c>
      <c r="AM97">
        <f>IF(F98+H98&gt;0,0,1)</f>
        <v>1</v>
      </c>
      <c r="AN97">
        <f t="shared" si="13"/>
        <v>0</v>
      </c>
      <c r="AO97" s="29">
        <f>AN97*D97</f>
        <v>0</v>
      </c>
      <c r="AP97" s="29">
        <f>-AN97*$E97</f>
        <v>0</v>
      </c>
      <c r="AQ97" s="29">
        <f t="shared" si="14"/>
        <v>0</v>
      </c>
      <c r="AR97" s="30">
        <f t="shared" si="15"/>
        <v>1.7191098231591671E-2</v>
      </c>
      <c r="AT97" s="12"/>
      <c r="AU97">
        <f>IF($AG97&gt;AT$21,1,0)</f>
        <v>0</v>
      </c>
      <c r="AV97">
        <f>IF($AG97&lt;AT$22,1,0)</f>
        <v>0</v>
      </c>
      <c r="AW97">
        <f t="shared" si="16"/>
        <v>1</v>
      </c>
      <c r="AX97">
        <f>IF(F98+H98&gt;0,0,1)</f>
        <v>1</v>
      </c>
      <c r="AY97">
        <f t="shared" si="17"/>
        <v>1</v>
      </c>
      <c r="AZ97" s="29">
        <f>-AY97*D97</f>
        <v>-9.1536995656790103E-4</v>
      </c>
      <c r="BA97" s="29">
        <f>AY97*$E97</f>
        <v>3.3300033607760901E-4</v>
      </c>
      <c r="BB97" s="29">
        <f t="shared" si="18"/>
        <v>-5.8236962049029208E-4</v>
      </c>
      <c r="BC97" s="30">
        <f t="shared" si="19"/>
        <v>2.8070253893630083E-3</v>
      </c>
      <c r="BE97" s="30">
        <f t="shared" si="20"/>
        <v>-5.8236962049029208E-4</v>
      </c>
      <c r="BF97" s="30">
        <f t="shared" si="21"/>
        <v>1.9998123620954683E-2</v>
      </c>
      <c r="BH97" s="30"/>
    </row>
    <row r="98" spans="1:60" x14ac:dyDescent="0.25">
      <c r="A98" s="1">
        <v>46163</v>
      </c>
      <c r="B98" s="34">
        <v>479.98</v>
      </c>
      <c r="C98" s="34">
        <v>718387</v>
      </c>
      <c r="D98" s="16">
        <v>-1.91491191642662E-3</v>
      </c>
      <c r="E98" s="16">
        <v>-3.4087775941850601E-3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479.98</v>
      </c>
      <c r="M98" s="34">
        <v>718387</v>
      </c>
      <c r="N98" s="35">
        <v>1496.7019459144101</v>
      </c>
      <c r="O98" s="35">
        <v>1499.9485700668399</v>
      </c>
      <c r="P98" s="35">
        <v>1500.3346784447699</v>
      </c>
      <c r="Q98" s="35">
        <v>1501.1430562369301</v>
      </c>
      <c r="R98" s="34">
        <v>719945.31466068502</v>
      </c>
      <c r="S98" s="34">
        <v>720655.68296093401</v>
      </c>
      <c r="T98" s="34">
        <v>720615.13481903402</v>
      </c>
      <c r="U98" s="16">
        <v>2.1668362095675002E-3</v>
      </c>
      <c r="V98" s="16">
        <v>3.1530473242315799E-3</v>
      </c>
      <c r="W98" s="16">
        <v>3.0967801169718701E-3</v>
      </c>
      <c r="X98" s="35">
        <v>1496.7019459144101</v>
      </c>
      <c r="Y98" s="35">
        <v>1499.9485700668399</v>
      </c>
      <c r="Z98" s="35">
        <v>1500.3346784447699</v>
      </c>
      <c r="AA98" s="35">
        <v>1501.1430562369301</v>
      </c>
      <c r="AB98" s="34">
        <v>719945.31466068502</v>
      </c>
      <c r="AC98" s="34">
        <v>720655.68296093401</v>
      </c>
      <c r="AD98" s="34">
        <v>720615.13481903402</v>
      </c>
      <c r="AE98" s="16">
        <v>2.1668362095675002E-3</v>
      </c>
      <c r="AF98" s="16">
        <v>3.1530473242315799E-3</v>
      </c>
      <c r="AG98" s="16">
        <v>3.0967801169718701E-3</v>
      </c>
      <c r="AI98" s="12"/>
      <c r="AJ98">
        <f>IF($AG98&lt;AI$21,1,0)</f>
        <v>0</v>
      </c>
      <c r="AK98">
        <f>IF($AG98&gt;AI$22,1,0)</f>
        <v>1</v>
      </c>
      <c r="AL98">
        <f t="shared" si="12"/>
        <v>0</v>
      </c>
      <c r="AM98">
        <f>IF(F99+H99&gt;0,0,1)</f>
        <v>1</v>
      </c>
      <c r="AN98">
        <f t="shared" si="13"/>
        <v>0</v>
      </c>
      <c r="AO98" s="29">
        <f>AN98*D98</f>
        <v>0</v>
      </c>
      <c r="AP98" s="29">
        <f>-AN98*$E98</f>
        <v>0</v>
      </c>
      <c r="AQ98" s="29">
        <f t="shared" si="14"/>
        <v>0</v>
      </c>
      <c r="AR98" s="30">
        <f t="shared" si="15"/>
        <v>1.7191098231591671E-2</v>
      </c>
      <c r="AT98" s="12"/>
      <c r="AU98">
        <f>IF($AG98&gt;AT$21,1,0)</f>
        <v>0</v>
      </c>
      <c r="AV98">
        <f>IF($AG98&lt;AT$22,1,0)</f>
        <v>0</v>
      </c>
      <c r="AW98">
        <f t="shared" si="16"/>
        <v>1</v>
      </c>
      <c r="AX98">
        <f>IF(F99+H99&gt;0,0,1)</f>
        <v>1</v>
      </c>
      <c r="AY98">
        <f t="shared" si="17"/>
        <v>1</v>
      </c>
      <c r="AZ98" s="29">
        <f>-AY98*D98</f>
        <v>1.91491191642662E-3</v>
      </c>
      <c r="BA98" s="29">
        <f>AY98*$E98</f>
        <v>-3.4087775941850601E-3</v>
      </c>
      <c r="BB98" s="29">
        <f t="shared" si="18"/>
        <v>-1.4938656777584401E-3</v>
      </c>
      <c r="BC98" s="30">
        <f t="shared" si="19"/>
        <v>1.3131597116045682E-3</v>
      </c>
      <c r="BE98" s="30">
        <f t="shared" si="20"/>
        <v>-1.4938656777584401E-3</v>
      </c>
      <c r="BF98" s="30">
        <f t="shared" si="21"/>
        <v>1.8504257943196243E-2</v>
      </c>
      <c r="BH98" s="30"/>
    </row>
    <row r="99" spans="1:60" x14ac:dyDescent="0.25">
      <c r="A99" s="1">
        <v>46164</v>
      </c>
      <c r="B99" s="34">
        <v>486.38</v>
      </c>
      <c r="C99" s="34">
        <v>728641</v>
      </c>
      <c r="D99" s="16">
        <v>1.32457750183289E-2</v>
      </c>
      <c r="E99" s="16">
        <v>1.4172734238398399E-2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486.38</v>
      </c>
      <c r="M99" s="34">
        <v>728641</v>
      </c>
      <c r="N99" s="35">
        <v>1498.08997080472</v>
      </c>
      <c r="O99" s="35">
        <v>1499.9485700668399</v>
      </c>
      <c r="P99" s="35">
        <v>1499.4131611747</v>
      </c>
      <c r="Q99" s="35">
        <v>1500.9644558254899</v>
      </c>
      <c r="R99" s="34">
        <v>729544.98550911294</v>
      </c>
      <c r="S99" s="34">
        <v>729732.78090196999</v>
      </c>
      <c r="T99" s="34">
        <v>730125.95969251997</v>
      </c>
      <c r="U99" s="16">
        <v>1.23987698949801E-3</v>
      </c>
      <c r="V99" s="16">
        <v>1.4972582752500901E-3</v>
      </c>
      <c r="W99" s="16">
        <v>2.0359114875412899E-3</v>
      </c>
      <c r="X99" s="35">
        <v>1498.08997080472</v>
      </c>
      <c r="Y99" s="35">
        <v>1499.9485700668399</v>
      </c>
      <c r="Z99" s="35">
        <v>1499.4131611747</v>
      </c>
      <c r="AA99" s="35">
        <v>1500.9644558254899</v>
      </c>
      <c r="AB99" s="34">
        <v>729544.98550911294</v>
      </c>
      <c r="AC99" s="34">
        <v>729732.78090196999</v>
      </c>
      <c r="AD99" s="34">
        <v>730125.95969251997</v>
      </c>
      <c r="AE99" s="16">
        <v>1.23987698949801E-3</v>
      </c>
      <c r="AF99" s="16">
        <v>1.4972582752500901E-3</v>
      </c>
      <c r="AG99" s="16">
        <v>2.0359114875412899E-3</v>
      </c>
      <c r="AI99" s="12"/>
      <c r="AJ99">
        <f>IF($AG99&lt;AI$21,1,0)</f>
        <v>0</v>
      </c>
      <c r="AK99">
        <f>IF($AG99&gt;AI$22,1,0)</f>
        <v>1</v>
      </c>
      <c r="AL99">
        <f t="shared" si="12"/>
        <v>0</v>
      </c>
      <c r="AM99">
        <f>IF(F100+H100&gt;0,0,1)</f>
        <v>1</v>
      </c>
      <c r="AN99">
        <f t="shared" si="13"/>
        <v>0</v>
      </c>
      <c r="AO99" s="29">
        <f>AN99*D99</f>
        <v>0</v>
      </c>
      <c r="AP99" s="29">
        <f>-AN99*$E99</f>
        <v>0</v>
      </c>
      <c r="AQ99" s="29">
        <f t="shared" si="14"/>
        <v>0</v>
      </c>
      <c r="AR99" s="30">
        <f t="shared" si="15"/>
        <v>1.7191098231591671E-2</v>
      </c>
      <c r="AT99" s="12"/>
      <c r="AU99">
        <f>IF($AG99&gt;AT$21,1,0)</f>
        <v>0</v>
      </c>
      <c r="AV99">
        <f>IF($AG99&lt;AT$22,1,0)</f>
        <v>0</v>
      </c>
      <c r="AW99">
        <f t="shared" si="16"/>
        <v>1</v>
      </c>
      <c r="AX99">
        <f>IF(F100+H100&gt;0,0,1)</f>
        <v>1</v>
      </c>
      <c r="AY99">
        <f t="shared" si="17"/>
        <v>1</v>
      </c>
      <c r="AZ99" s="29">
        <f>-AY99*D99</f>
        <v>-1.32457750183289E-2</v>
      </c>
      <c r="BA99" s="29">
        <f>AY99*$E99</f>
        <v>1.4172734238398399E-2</v>
      </c>
      <c r="BB99" s="29">
        <f t="shared" si="18"/>
        <v>9.2695922006949885E-4</v>
      </c>
      <c r="BC99" s="30">
        <f t="shared" si="19"/>
        <v>2.240118931674067E-3</v>
      </c>
      <c r="BE99" s="30">
        <f t="shared" si="20"/>
        <v>9.2695922006949885E-4</v>
      </c>
      <c r="BF99" s="30">
        <f t="shared" si="21"/>
        <v>1.9431217163265742E-2</v>
      </c>
      <c r="BH99" s="30"/>
    </row>
    <row r="100" spans="1:60" x14ac:dyDescent="0.25">
      <c r="A100" s="1">
        <v>46168</v>
      </c>
      <c r="B100" s="34">
        <v>483.62</v>
      </c>
      <c r="C100" s="34">
        <v>724500</v>
      </c>
      <c r="D100" s="16">
        <v>-5.6907370070683298E-3</v>
      </c>
      <c r="E100" s="16">
        <v>-5.6993935335466796E-3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483.62</v>
      </c>
      <c r="M100" s="34">
        <v>724500</v>
      </c>
      <c r="N100" s="35">
        <v>1498.0770026053499</v>
      </c>
      <c r="O100" s="35">
        <v>1499.9485700668399</v>
      </c>
      <c r="P100" s="35">
        <v>1498.8715756464701</v>
      </c>
      <c r="Q100" s="35">
        <v>1500.9333363062201</v>
      </c>
      <c r="R100" s="34">
        <v>725405.12745572801</v>
      </c>
      <c r="S100" s="34">
        <v>725146.19300730794</v>
      </c>
      <c r="T100" s="34">
        <v>725896.43012632604</v>
      </c>
      <c r="U100" s="16">
        <v>1.24853351597634E-3</v>
      </c>
      <c r="V100" s="16">
        <v>8.9151829353317997E-4</v>
      </c>
      <c r="W100" s="16">
        <v>1.9255846592050999E-3</v>
      </c>
      <c r="X100" s="35">
        <v>1498.0770026053499</v>
      </c>
      <c r="Y100" s="35">
        <v>1499.9485700668399</v>
      </c>
      <c r="Z100" s="35">
        <v>1498.8715756464701</v>
      </c>
      <c r="AA100" s="35">
        <v>1500.9333363062201</v>
      </c>
      <c r="AB100" s="34">
        <v>725405.12745572801</v>
      </c>
      <c r="AC100" s="34">
        <v>725146.19300730794</v>
      </c>
      <c r="AD100" s="34">
        <v>725896.43012632604</v>
      </c>
      <c r="AE100" s="16">
        <v>1.24853351597634E-3</v>
      </c>
      <c r="AF100" s="16">
        <v>8.9151829353317997E-4</v>
      </c>
      <c r="AG100" s="16">
        <v>1.9255846592050999E-3</v>
      </c>
      <c r="AI100" s="12"/>
      <c r="AJ100">
        <f>IF($AG100&lt;AI$21,1,0)</f>
        <v>0</v>
      </c>
      <c r="AK100">
        <f>IF($AG100&gt;AI$22,1,0)</f>
        <v>1</v>
      </c>
      <c r="AL100">
        <f t="shared" si="12"/>
        <v>0</v>
      </c>
      <c r="AM100">
        <f>IF(F101+H101&gt;0,0,1)</f>
        <v>1</v>
      </c>
      <c r="AN100">
        <f t="shared" si="13"/>
        <v>0</v>
      </c>
      <c r="AO100" s="29">
        <f>AN100*D100</f>
        <v>0</v>
      </c>
      <c r="AP100" s="29">
        <f>-AN100*$E100</f>
        <v>0</v>
      </c>
      <c r="AQ100" s="29">
        <f t="shared" si="14"/>
        <v>0</v>
      </c>
      <c r="AR100" s="30">
        <f t="shared" si="15"/>
        <v>1.7191098231591671E-2</v>
      </c>
      <c r="AT100" s="12"/>
      <c r="AU100">
        <f>IF($AG100&gt;AT$21,1,0)</f>
        <v>0</v>
      </c>
      <c r="AV100">
        <f>IF($AG100&lt;AT$22,1,0)</f>
        <v>0</v>
      </c>
      <c r="AW100">
        <f t="shared" si="16"/>
        <v>1</v>
      </c>
      <c r="AX100">
        <f>IF(F101+H101&gt;0,0,1)</f>
        <v>1</v>
      </c>
      <c r="AY100">
        <f t="shared" si="17"/>
        <v>1</v>
      </c>
      <c r="AZ100" s="29">
        <f>-AY100*D100</f>
        <v>5.6907370070683298E-3</v>
      </c>
      <c r="BA100" s="29">
        <f>AY100*$E100</f>
        <v>-5.6993935335466796E-3</v>
      </c>
      <c r="BB100" s="29">
        <f t="shared" si="18"/>
        <v>-8.6565264783497464E-6</v>
      </c>
      <c r="BC100" s="30">
        <f t="shared" si="19"/>
        <v>2.2314624051957173E-3</v>
      </c>
      <c r="BE100" s="30">
        <f t="shared" si="20"/>
        <v>-8.6565264783497464E-6</v>
      </c>
      <c r="BF100" s="30">
        <f t="shared" si="21"/>
        <v>1.9422560636787392E-2</v>
      </c>
      <c r="BH100" s="30"/>
    </row>
    <row r="101" spans="1:60" x14ac:dyDescent="0.25">
      <c r="A101" s="1">
        <v>46169</v>
      </c>
      <c r="B101" s="34">
        <v>479.92</v>
      </c>
      <c r="C101" s="34">
        <v>719000</v>
      </c>
      <c r="D101" s="16">
        <v>-7.6800510336131203E-3</v>
      </c>
      <c r="E101" s="16">
        <v>-7.6204040396903802E-3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479.92</v>
      </c>
      <c r="M101" s="34">
        <v>719000</v>
      </c>
      <c r="N101" s="35">
        <v>1498.1663610601699</v>
      </c>
      <c r="O101" s="35">
        <v>1499.9485700668399</v>
      </c>
      <c r="P101" s="35">
        <v>1498.46963702468</v>
      </c>
      <c r="Q101" s="35">
        <v>1500.8092384315</v>
      </c>
      <c r="R101" s="34">
        <v>719855.31774648104</v>
      </c>
      <c r="S101" s="34">
        <v>719338.44658425602</v>
      </c>
      <c r="T101" s="34">
        <v>720327.92676008097</v>
      </c>
      <c r="U101" s="16">
        <v>1.1888865220535301E-3</v>
      </c>
      <c r="V101" s="16">
        <v>4.7060772282961501E-4</v>
      </c>
      <c r="W101" s="16">
        <v>1.84520443488577E-3</v>
      </c>
      <c r="X101" s="35">
        <v>1498.1663610601699</v>
      </c>
      <c r="Y101" s="35">
        <v>1499.9485700668399</v>
      </c>
      <c r="Z101" s="35">
        <v>1498.46963702468</v>
      </c>
      <c r="AA101" s="35">
        <v>1500.8092384315</v>
      </c>
      <c r="AB101" s="34">
        <v>719855.31774648104</v>
      </c>
      <c r="AC101" s="34">
        <v>719338.44658425602</v>
      </c>
      <c r="AD101" s="34">
        <v>720327.92676008097</v>
      </c>
      <c r="AE101" s="16">
        <v>1.1888865220535301E-3</v>
      </c>
      <c r="AF101" s="16">
        <v>4.7060772282961501E-4</v>
      </c>
      <c r="AG101" s="16">
        <v>1.84520443488577E-3</v>
      </c>
      <c r="AI101" s="12"/>
      <c r="AJ101">
        <f>IF($AG101&lt;AI$21,1,0)</f>
        <v>0</v>
      </c>
      <c r="AK101">
        <f>IF($AG101&gt;AI$22,1,0)</f>
        <v>1</v>
      </c>
      <c r="AL101">
        <f t="shared" si="12"/>
        <v>0</v>
      </c>
      <c r="AM101">
        <f>IF(F102+H102&gt;0,0,1)</f>
        <v>1</v>
      </c>
      <c r="AN101">
        <f t="shared" si="13"/>
        <v>0</v>
      </c>
      <c r="AO101" s="29">
        <f>AN101*D101</f>
        <v>0</v>
      </c>
      <c r="AP101" s="29">
        <f>-AN101*$E101</f>
        <v>0</v>
      </c>
      <c r="AQ101" s="29">
        <f t="shared" si="14"/>
        <v>0</v>
      </c>
      <c r="AR101" s="30">
        <f t="shared" si="15"/>
        <v>1.7191098231591671E-2</v>
      </c>
      <c r="AT101" s="12"/>
      <c r="AU101">
        <f>IF($AG101&gt;AT$21,1,0)</f>
        <v>0</v>
      </c>
      <c r="AV101">
        <f>IF($AG101&lt;AT$22,1,0)</f>
        <v>0</v>
      </c>
      <c r="AW101">
        <f t="shared" si="16"/>
        <v>1</v>
      </c>
      <c r="AX101">
        <f>IF(F102+H102&gt;0,0,1)</f>
        <v>1</v>
      </c>
      <c r="AY101">
        <f t="shared" si="17"/>
        <v>1</v>
      </c>
      <c r="AZ101" s="29">
        <f>-AY101*D101</f>
        <v>7.6800510336131203E-3</v>
      </c>
      <c r="BA101" s="29">
        <f>AY101*$E101</f>
        <v>-7.6204040396903802E-3</v>
      </c>
      <c r="BB101" s="29">
        <f t="shared" si="18"/>
        <v>5.9646993922740123E-5</v>
      </c>
      <c r="BC101" s="30">
        <f t="shared" si="19"/>
        <v>2.2911093991184574E-3</v>
      </c>
      <c r="BE101" s="30">
        <f t="shared" si="20"/>
        <v>5.9646993922740123E-5</v>
      </c>
      <c r="BF101" s="30">
        <f t="shared" si="21"/>
        <v>1.9482207630710131E-2</v>
      </c>
      <c r="BH101" s="30"/>
    </row>
    <row r="102" spans="1:60" x14ac:dyDescent="0.25">
      <c r="A102" s="1">
        <v>46170</v>
      </c>
      <c r="B102" s="34">
        <v>477.42</v>
      </c>
      <c r="C102" s="34">
        <v>715660</v>
      </c>
      <c r="D102" s="16">
        <v>-5.2228167273392001E-3</v>
      </c>
      <c r="E102" s="16">
        <v>-4.6561638774707996E-3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477.42</v>
      </c>
      <c r="M102" s="34">
        <v>715660</v>
      </c>
      <c r="N102" s="35">
        <v>1499.01554187088</v>
      </c>
      <c r="O102" s="35">
        <v>1499.9485700668399</v>
      </c>
      <c r="P102" s="35">
        <v>1498.53183135017</v>
      </c>
      <c r="Q102" s="35">
        <v>1500.7673717453299</v>
      </c>
      <c r="R102" s="34">
        <v>716105.44632131397</v>
      </c>
      <c r="S102" s="34">
        <v>715399.37410832196</v>
      </c>
      <c r="T102" s="34">
        <v>716516.34661196906</v>
      </c>
      <c r="U102" s="16">
        <v>6.2223367218500398E-4</v>
      </c>
      <c r="V102" s="16">
        <v>-3.64241902571114E-4</v>
      </c>
      <c r="W102" s="16">
        <v>1.19586769611237E-3</v>
      </c>
      <c r="X102" s="35">
        <v>1499.01554187088</v>
      </c>
      <c r="Y102" s="35">
        <v>1499.9485700668399</v>
      </c>
      <c r="Z102" s="35">
        <v>1498.53183135017</v>
      </c>
      <c r="AA102" s="35">
        <v>1500.7673717453299</v>
      </c>
      <c r="AB102" s="34">
        <v>716105.44632131397</v>
      </c>
      <c r="AC102" s="34">
        <v>715399.37410832196</v>
      </c>
      <c r="AD102" s="34">
        <v>716516.34661196906</v>
      </c>
      <c r="AE102" s="16">
        <v>6.2223367218500398E-4</v>
      </c>
      <c r="AF102" s="16">
        <v>-3.64241902571114E-4</v>
      </c>
      <c r="AG102" s="16">
        <v>1.19586769611237E-3</v>
      </c>
      <c r="AI102" s="12"/>
      <c r="AJ102">
        <f>IF($AG102&lt;AI$21,1,0)</f>
        <v>0</v>
      </c>
      <c r="AK102">
        <f>IF($AG102&gt;AI$22,1,0)</f>
        <v>1</v>
      </c>
      <c r="AL102">
        <f t="shared" si="12"/>
        <v>0</v>
      </c>
      <c r="AM102">
        <f>IF(F103+H103&gt;0,0,1)</f>
        <v>1</v>
      </c>
      <c r="AN102">
        <f t="shared" si="13"/>
        <v>0</v>
      </c>
      <c r="AO102" s="29">
        <f>AN102*D102</f>
        <v>0</v>
      </c>
      <c r="AP102" s="29">
        <f>-AN102*$E102</f>
        <v>0</v>
      </c>
      <c r="AQ102" s="29">
        <f t="shared" si="14"/>
        <v>0</v>
      </c>
      <c r="AR102" s="30">
        <f t="shared" si="15"/>
        <v>1.7191098231591671E-2</v>
      </c>
      <c r="AT102" s="12"/>
      <c r="AU102">
        <f>IF($AG102&gt;AT$21,1,0)</f>
        <v>0</v>
      </c>
      <c r="AV102">
        <f>IF($AG102&lt;AT$22,1,0)</f>
        <v>0</v>
      </c>
      <c r="AW102">
        <f t="shared" si="16"/>
        <v>1</v>
      </c>
      <c r="AX102">
        <f>IF(F103+H103&gt;0,0,1)</f>
        <v>1</v>
      </c>
      <c r="AY102">
        <f t="shared" si="17"/>
        <v>1</v>
      </c>
      <c r="AZ102" s="29">
        <f>-AY102*D102</f>
        <v>5.2228167273392001E-3</v>
      </c>
      <c r="BA102" s="29">
        <f>AY102*$E102</f>
        <v>-4.6561638774707996E-3</v>
      </c>
      <c r="BB102" s="29">
        <f t="shared" si="18"/>
        <v>5.6665284986840044E-4</v>
      </c>
      <c r="BC102" s="30">
        <f t="shared" si="19"/>
        <v>2.8577622489868578E-3</v>
      </c>
      <c r="BE102" s="30">
        <f t="shared" si="20"/>
        <v>5.6665284986840044E-4</v>
      </c>
      <c r="BF102" s="30">
        <f t="shared" si="21"/>
        <v>2.004886048057853E-2</v>
      </c>
      <c r="BH102" s="30"/>
    </row>
    <row r="103" spans="1:60" x14ac:dyDescent="0.25">
      <c r="A103" s="1">
        <v>46171</v>
      </c>
      <c r="B103" s="34">
        <v>474.48</v>
      </c>
      <c r="C103" s="34">
        <v>710900</v>
      </c>
      <c r="D103" s="16">
        <v>-6.1771390870272802E-3</v>
      </c>
      <c r="E103" s="16">
        <v>-6.67342090813847E-3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474.48</v>
      </c>
      <c r="M103" s="34">
        <v>710900</v>
      </c>
      <c r="N103" s="35">
        <v>1498.27179227786</v>
      </c>
      <c r="O103" s="35">
        <v>1499.9485700668399</v>
      </c>
      <c r="P103" s="35">
        <v>1498.13381948595</v>
      </c>
      <c r="Q103" s="35">
        <v>1500.5225998727401</v>
      </c>
      <c r="R103" s="34">
        <v>711695.59752531699</v>
      </c>
      <c r="S103" s="34">
        <v>711023.38333903195</v>
      </c>
      <c r="T103" s="34">
        <v>712084.10254572798</v>
      </c>
      <c r="U103" s="16">
        <v>1.1185154932962199E-3</v>
      </c>
      <c r="V103" s="16">
        <v>1.7354428626384201E-4</v>
      </c>
      <c r="W103" s="16">
        <v>1.6642530537257299E-3</v>
      </c>
      <c r="X103" s="35">
        <v>1498.27179227786</v>
      </c>
      <c r="Y103" s="35">
        <v>1499.9485700668399</v>
      </c>
      <c r="Z103" s="35">
        <v>1498.13381948595</v>
      </c>
      <c r="AA103" s="35">
        <v>1500.5225998727401</v>
      </c>
      <c r="AB103" s="34">
        <v>711695.59752531699</v>
      </c>
      <c r="AC103" s="34">
        <v>711023.38333903195</v>
      </c>
      <c r="AD103" s="34">
        <v>712084.10254572798</v>
      </c>
      <c r="AE103" s="16">
        <v>1.1185154932962199E-3</v>
      </c>
      <c r="AF103" s="16">
        <v>1.7354428626384201E-4</v>
      </c>
      <c r="AG103" s="16">
        <v>1.6642530537257299E-3</v>
      </c>
      <c r="AI103" s="12"/>
      <c r="AJ103">
        <f>IF($AG103&lt;AI$21,1,0)</f>
        <v>0</v>
      </c>
      <c r="AK103">
        <f>IF($AG103&gt;AI$22,1,0)</f>
        <v>1</v>
      </c>
      <c r="AL103">
        <f t="shared" si="12"/>
        <v>0</v>
      </c>
      <c r="AM103">
        <f>IF(F104+H104&gt;0,0,1)</f>
        <v>1</v>
      </c>
      <c r="AN103">
        <f t="shared" si="13"/>
        <v>0</v>
      </c>
      <c r="AO103" s="29">
        <f>AN103*D103</f>
        <v>0</v>
      </c>
      <c r="AP103" s="29">
        <f>-AN103*$E103</f>
        <v>0</v>
      </c>
      <c r="AQ103" s="29">
        <f t="shared" si="14"/>
        <v>0</v>
      </c>
      <c r="AR103" s="30">
        <f t="shared" si="15"/>
        <v>1.7191098231591671E-2</v>
      </c>
      <c r="AT103" s="12"/>
      <c r="AU103">
        <f>IF($AG103&gt;AT$21,1,0)</f>
        <v>0</v>
      </c>
      <c r="AV103">
        <f>IF($AG103&lt;AT$22,1,0)</f>
        <v>0</v>
      </c>
      <c r="AW103">
        <f t="shared" si="16"/>
        <v>1</v>
      </c>
      <c r="AX103">
        <f>IF(F104+H104&gt;0,0,1)</f>
        <v>1</v>
      </c>
      <c r="AY103">
        <f t="shared" si="17"/>
        <v>1</v>
      </c>
      <c r="AZ103" s="29">
        <f>-AY103*D103</f>
        <v>6.1771390870272802E-3</v>
      </c>
      <c r="BA103" s="29">
        <f>AY103*$E103</f>
        <v>-6.67342090813847E-3</v>
      </c>
      <c r="BB103" s="29">
        <f t="shared" si="18"/>
        <v>-4.9628182111118978E-4</v>
      </c>
      <c r="BC103" s="30">
        <f t="shared" si="19"/>
        <v>2.3614804278756681E-3</v>
      </c>
      <c r="BE103" s="30">
        <f t="shared" si="20"/>
        <v>-4.9628182111118978E-4</v>
      </c>
      <c r="BF103" s="30">
        <f t="shared" si="21"/>
        <v>1.9552578659467339E-2</v>
      </c>
      <c r="BH103" s="30"/>
    </row>
    <row r="104" spans="1:60" x14ac:dyDescent="0.25">
      <c r="A104" s="1">
        <v>46174</v>
      </c>
      <c r="B104" s="34">
        <v>470.29</v>
      </c>
      <c r="C104" s="34">
        <v>705160.56</v>
      </c>
      <c r="D104" s="16">
        <v>-8.8699418291321407E-3</v>
      </c>
      <c r="E104" s="16">
        <v>-8.1062513722005899E-3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470.29</v>
      </c>
      <c r="M104" s="34">
        <v>705160.56</v>
      </c>
      <c r="N104" s="35">
        <v>1499.4164451721199</v>
      </c>
      <c r="O104" s="35">
        <v>1499.9485700668399</v>
      </c>
      <c r="P104" s="35">
        <v>1498.12290547819</v>
      </c>
      <c r="Q104" s="35">
        <v>1500.4104429131501</v>
      </c>
      <c r="R104" s="34">
        <v>705410.813016737</v>
      </c>
      <c r="S104" s="34">
        <v>704557.35396604706</v>
      </c>
      <c r="T104" s="34">
        <v>705680.77349415305</v>
      </c>
      <c r="U104" s="16">
        <v>3.5482503636479E-4</v>
      </c>
      <c r="V104" s="16">
        <v>-8.55782656644253E-4</v>
      </c>
      <c r="W104" s="16">
        <v>7.3745148427212595E-4</v>
      </c>
      <c r="X104" s="35">
        <v>1499.4164451721199</v>
      </c>
      <c r="Y104" s="35">
        <v>1499.9485700668399</v>
      </c>
      <c r="Z104" s="35">
        <v>1498.12290547819</v>
      </c>
      <c r="AA104" s="35">
        <v>1500.4104429131501</v>
      </c>
      <c r="AB104" s="34">
        <v>705410.813016737</v>
      </c>
      <c r="AC104" s="34">
        <v>704557.35396604706</v>
      </c>
      <c r="AD104" s="34">
        <v>705680.77349415305</v>
      </c>
      <c r="AE104" s="16">
        <v>3.5482503636479E-4</v>
      </c>
      <c r="AF104" s="16">
        <v>-8.55782656644253E-4</v>
      </c>
      <c r="AG104" s="16">
        <v>7.3745148427212595E-4</v>
      </c>
      <c r="AI104" s="12"/>
      <c r="AJ104">
        <f>IF($AG104&lt;AI$21,1,0)</f>
        <v>0</v>
      </c>
      <c r="AK104">
        <f>IF($AG104&gt;AI$22,1,0)</f>
        <v>1</v>
      </c>
      <c r="AL104">
        <f t="shared" si="12"/>
        <v>0</v>
      </c>
      <c r="AM104">
        <f>IF(F105+H105&gt;0,0,1)</f>
        <v>1</v>
      </c>
      <c r="AN104">
        <f t="shared" si="13"/>
        <v>0</v>
      </c>
      <c r="AO104" s="29">
        <f>AN104*D104</f>
        <v>0</v>
      </c>
      <c r="AP104" s="29">
        <f>-AN104*$E104</f>
        <v>0</v>
      </c>
      <c r="AQ104" s="29">
        <f t="shared" si="14"/>
        <v>0</v>
      </c>
      <c r="AR104" s="30">
        <f t="shared" si="15"/>
        <v>1.7191098231591671E-2</v>
      </c>
      <c r="AT104" s="12"/>
      <c r="AU104">
        <f>IF($AG104&gt;AT$21,1,0)</f>
        <v>0</v>
      </c>
      <c r="AV104">
        <f>IF($AG104&lt;AT$22,1,0)</f>
        <v>1</v>
      </c>
      <c r="AW104">
        <f t="shared" si="16"/>
        <v>1</v>
      </c>
      <c r="AX104">
        <f>IF(F105+H105&gt;0,0,1)</f>
        <v>1</v>
      </c>
      <c r="AY104">
        <f t="shared" si="17"/>
        <v>1</v>
      </c>
      <c r="AZ104" s="29">
        <f>-AY104*D104</f>
        <v>8.8699418291321407E-3</v>
      </c>
      <c r="BA104" s="29">
        <f>AY104*$E104</f>
        <v>-8.1062513722005899E-3</v>
      </c>
      <c r="BB104" s="29">
        <f t="shared" si="18"/>
        <v>7.6369045693155078E-4</v>
      </c>
      <c r="BC104" s="30">
        <f t="shared" si="19"/>
        <v>3.1251708848072188E-3</v>
      </c>
      <c r="BE104" s="30">
        <f t="shared" si="20"/>
        <v>7.6369045693155078E-4</v>
      </c>
      <c r="BF104" s="30">
        <f t="shared" si="21"/>
        <v>2.0316269116398888E-2</v>
      </c>
      <c r="BH104" s="30"/>
    </row>
    <row r="105" spans="1:60" x14ac:dyDescent="0.25">
      <c r="A105" s="1">
        <v>46175</v>
      </c>
      <c r="B105" s="34">
        <v>471.51</v>
      </c>
      <c r="C105" s="34">
        <v>707210</v>
      </c>
      <c r="D105" s="16">
        <v>2.5907850550085398E-3</v>
      </c>
      <c r="E105" s="16">
        <v>2.9021299317173398E-3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471.51</v>
      </c>
      <c r="M105" s="34">
        <v>707210</v>
      </c>
      <c r="N105" s="35">
        <v>1499.88335348136</v>
      </c>
      <c r="O105" s="35">
        <v>1499.9485700668399</v>
      </c>
      <c r="P105" s="35">
        <v>1498.6374581161499</v>
      </c>
      <c r="Q105" s="35">
        <v>1500.40351031402</v>
      </c>
      <c r="R105" s="34">
        <v>707240.75027221802</v>
      </c>
      <c r="S105" s="34">
        <v>706379.93116202496</v>
      </c>
      <c r="T105" s="34">
        <v>707458.52793798002</v>
      </c>
      <c r="U105" s="16">
        <v>4.3480159656066298E-5</v>
      </c>
      <c r="V105" s="16">
        <v>-1.17441262855852E-3</v>
      </c>
      <c r="W105" s="16">
        <v>3.5135854884631699E-4</v>
      </c>
      <c r="X105" s="35">
        <v>1499.88335348136</v>
      </c>
      <c r="Y105" s="35">
        <v>1499.9485700668399</v>
      </c>
      <c r="Z105" s="35">
        <v>1498.6374581161499</v>
      </c>
      <c r="AA105" s="35">
        <v>1500.40351031402</v>
      </c>
      <c r="AB105" s="34">
        <v>707240.75027221802</v>
      </c>
      <c r="AC105" s="34">
        <v>706379.93116202496</v>
      </c>
      <c r="AD105" s="34">
        <v>707458.52793798002</v>
      </c>
      <c r="AE105" s="16">
        <v>4.3480159656066298E-5</v>
      </c>
      <c r="AF105" s="16">
        <v>-1.17441262855852E-3</v>
      </c>
      <c r="AG105" s="16">
        <v>3.5135854884631699E-4</v>
      </c>
      <c r="AI105" s="12"/>
      <c r="AJ105">
        <f>IF($AG105&lt;AI$21,1,0)</f>
        <v>0</v>
      </c>
      <c r="AK105">
        <f>IF($AG105&gt;AI$22,1,0)</f>
        <v>1</v>
      </c>
      <c r="AL105">
        <f t="shared" si="12"/>
        <v>0</v>
      </c>
      <c r="AM105">
        <f>IF(F106+H106&gt;0,0,1)</f>
        <v>1</v>
      </c>
      <c r="AN105">
        <f t="shared" si="13"/>
        <v>0</v>
      </c>
      <c r="AO105" s="29">
        <f>AN105*D105</f>
        <v>0</v>
      </c>
      <c r="AP105" s="29">
        <f>-AN105*$E105</f>
        <v>0</v>
      </c>
      <c r="AQ105" s="29">
        <f t="shared" si="14"/>
        <v>0</v>
      </c>
      <c r="AR105" s="30">
        <f t="shared" si="15"/>
        <v>1.7191098231591671E-2</v>
      </c>
      <c r="AT105" s="12"/>
      <c r="AU105">
        <f>IF($AG105&gt;AT$21,1,0)</f>
        <v>0</v>
      </c>
      <c r="AV105">
        <f>IF($AG105&lt;AT$22,1,0)</f>
        <v>1</v>
      </c>
      <c r="AW105">
        <f t="shared" si="16"/>
        <v>0</v>
      </c>
      <c r="AX105">
        <f>IF(F106+H106&gt;0,0,1)</f>
        <v>1</v>
      </c>
      <c r="AY105">
        <f t="shared" si="17"/>
        <v>0</v>
      </c>
      <c r="AZ105" s="29">
        <f>-AY105*D105</f>
        <v>0</v>
      </c>
      <c r="BA105" s="29">
        <f>AY105*$E105</f>
        <v>0</v>
      </c>
      <c r="BB105" s="29">
        <f t="shared" si="18"/>
        <v>0</v>
      </c>
      <c r="BC105" s="30">
        <f t="shared" si="19"/>
        <v>3.1251708848072188E-3</v>
      </c>
      <c r="BE105" s="30">
        <f t="shared" si="20"/>
        <v>0</v>
      </c>
      <c r="BF105" s="30">
        <f t="shared" si="21"/>
        <v>2.0316269116398888E-2</v>
      </c>
      <c r="BH105" s="30"/>
    </row>
    <row r="106" spans="1:60" x14ac:dyDescent="0.25">
      <c r="A106" s="1">
        <v>46176</v>
      </c>
      <c r="B106" s="34">
        <v>475.37</v>
      </c>
      <c r="C106" s="34">
        <v>713692.31</v>
      </c>
      <c r="D106" s="16">
        <v>8.1531374246656893E-3</v>
      </c>
      <c r="E106" s="16">
        <v>9.1242795886536908E-3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475.37</v>
      </c>
      <c r="M106" s="34">
        <v>713692.31</v>
      </c>
      <c r="N106" s="35">
        <v>1501.3406609588301</v>
      </c>
      <c r="O106" s="35">
        <v>1499.9485700668399</v>
      </c>
      <c r="P106" s="35">
        <v>1498.79025626048</v>
      </c>
      <c r="Q106" s="35">
        <v>1500.28961021193</v>
      </c>
      <c r="R106" s="34">
        <v>713030.55175267695</v>
      </c>
      <c r="S106" s="34">
        <v>712407.28846467403</v>
      </c>
      <c r="T106" s="34">
        <v>713246.81669797504</v>
      </c>
      <c r="U106" s="16">
        <v>-9.2766200433184196E-4</v>
      </c>
      <c r="V106" s="16">
        <v>-1.8021488604208699E-3</v>
      </c>
      <c r="W106" s="16">
        <v>-6.2440409427879599E-4</v>
      </c>
      <c r="X106" s="35">
        <v>1501.3406609588301</v>
      </c>
      <c r="Y106" s="35">
        <v>1499.9485700668399</v>
      </c>
      <c r="Z106" s="35">
        <v>1498.79025626048</v>
      </c>
      <c r="AA106" s="35">
        <v>1500.28961021193</v>
      </c>
      <c r="AB106" s="34">
        <v>713030.55175267695</v>
      </c>
      <c r="AC106" s="34">
        <v>712407.28846467403</v>
      </c>
      <c r="AD106" s="34">
        <v>713246.81669797504</v>
      </c>
      <c r="AE106" s="16">
        <v>-9.2766200433184196E-4</v>
      </c>
      <c r="AF106" s="16">
        <v>-1.8021488604208699E-3</v>
      </c>
      <c r="AG106" s="16">
        <v>-6.2440409427879599E-4</v>
      </c>
      <c r="AI106" s="12"/>
      <c r="AJ106">
        <f>IF($AG106&lt;AI$21,1,0)</f>
        <v>0</v>
      </c>
      <c r="AK106">
        <f>IF($AG106&gt;AI$22,1,0)</f>
        <v>1</v>
      </c>
      <c r="AL106">
        <f t="shared" si="12"/>
        <v>0</v>
      </c>
      <c r="AM106">
        <f>IF(F107+H107&gt;0,0,1)</f>
        <v>1</v>
      </c>
      <c r="AN106">
        <f t="shared" si="13"/>
        <v>0</v>
      </c>
      <c r="AO106" s="29">
        <f>AN106*D106</f>
        <v>0</v>
      </c>
      <c r="AP106" s="29">
        <f>-AN106*$E106</f>
        <v>0</v>
      </c>
      <c r="AQ106" s="29">
        <f t="shared" si="14"/>
        <v>0</v>
      </c>
      <c r="AR106" s="30">
        <f t="shared" si="15"/>
        <v>1.7191098231591671E-2</v>
      </c>
      <c r="AT106" s="12"/>
      <c r="AU106">
        <f>IF($AG106&gt;AT$21,1,0)</f>
        <v>0</v>
      </c>
      <c r="AV106">
        <f>IF($AG106&lt;AT$22,1,0)</f>
        <v>1</v>
      </c>
      <c r="AW106">
        <f t="shared" si="16"/>
        <v>0</v>
      </c>
      <c r="AX106">
        <f>IF(F107+H107&gt;0,0,1)</f>
        <v>1</v>
      </c>
      <c r="AY106">
        <f t="shared" si="17"/>
        <v>0</v>
      </c>
      <c r="AZ106" s="29">
        <f>-AY106*D106</f>
        <v>0</v>
      </c>
      <c r="BA106" s="29">
        <f>AY106*$E106</f>
        <v>0</v>
      </c>
      <c r="BB106" s="29">
        <f t="shared" si="18"/>
        <v>0</v>
      </c>
      <c r="BC106" s="30">
        <f t="shared" si="19"/>
        <v>3.1251708848072188E-3</v>
      </c>
      <c r="BE106" s="30">
        <f t="shared" si="20"/>
        <v>0</v>
      </c>
      <c r="BF106" s="30">
        <f t="shared" si="21"/>
        <v>2.0316269116398888E-2</v>
      </c>
      <c r="BH106" s="30"/>
    </row>
    <row r="107" spans="1:60" x14ac:dyDescent="0.25">
      <c r="A107" s="1">
        <v>46177</v>
      </c>
      <c r="B107" s="34">
        <v>478.63</v>
      </c>
      <c r="C107" s="34">
        <v>718420</v>
      </c>
      <c r="D107" s="16">
        <v>6.8344081536793203E-3</v>
      </c>
      <c r="E107" s="16">
        <v>6.6024251605189396E-3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478.63</v>
      </c>
      <c r="M107" s="34">
        <v>718420</v>
      </c>
      <c r="N107" s="35">
        <v>1500.99241585358</v>
      </c>
      <c r="O107" s="35">
        <v>1499.9485700668399</v>
      </c>
      <c r="P107" s="35">
        <v>1498.99554899993</v>
      </c>
      <c r="Q107" s="35">
        <v>1500.21205734605</v>
      </c>
      <c r="R107" s="34">
        <v>717920.38409109402</v>
      </c>
      <c r="S107" s="34">
        <v>717365.98035395704</v>
      </c>
      <c r="T107" s="34">
        <v>718083.61613573902</v>
      </c>
      <c r="U107" s="16">
        <v>-6.95679011171481E-4</v>
      </c>
      <c r="V107" s="16">
        <v>-1.46821302033358E-3</v>
      </c>
      <c r="W107" s="16">
        <v>-4.68336962930017E-4</v>
      </c>
      <c r="X107" s="35">
        <v>1500.99241585358</v>
      </c>
      <c r="Y107" s="35">
        <v>1499.9485700668399</v>
      </c>
      <c r="Z107" s="35">
        <v>1498.99554899993</v>
      </c>
      <c r="AA107" s="35">
        <v>1500.21205734605</v>
      </c>
      <c r="AB107" s="34">
        <v>717920.38409109402</v>
      </c>
      <c r="AC107" s="34">
        <v>717365.98035395704</v>
      </c>
      <c r="AD107" s="34">
        <v>718083.61613573902</v>
      </c>
      <c r="AE107" s="16">
        <v>-6.95679011171481E-4</v>
      </c>
      <c r="AF107" s="16">
        <v>-1.46821302033358E-3</v>
      </c>
      <c r="AG107" s="16">
        <v>-4.68336962930017E-4</v>
      </c>
      <c r="AI107" s="12"/>
      <c r="AJ107">
        <f>IF($AG107&lt;AI$21,1,0)</f>
        <v>0</v>
      </c>
      <c r="AK107">
        <f>IF($AG107&gt;AI$22,1,0)</f>
        <v>1</v>
      </c>
      <c r="AL107">
        <f t="shared" si="12"/>
        <v>0</v>
      </c>
      <c r="AM107">
        <f>IF(F108+H108&gt;0,0,1)</f>
        <v>1</v>
      </c>
      <c r="AN107">
        <f t="shared" si="13"/>
        <v>0</v>
      </c>
      <c r="AO107" s="29">
        <f>AN107*D107</f>
        <v>0</v>
      </c>
      <c r="AP107" s="29">
        <f>-AN107*$E107</f>
        <v>0</v>
      </c>
      <c r="AQ107" s="29">
        <f t="shared" si="14"/>
        <v>0</v>
      </c>
      <c r="AR107" s="30">
        <f t="shared" si="15"/>
        <v>1.7191098231591671E-2</v>
      </c>
      <c r="AT107" s="12"/>
      <c r="AU107">
        <f>IF($AG107&gt;AT$21,1,0)</f>
        <v>0</v>
      </c>
      <c r="AV107">
        <f>IF($AG107&lt;AT$22,1,0)</f>
        <v>1</v>
      </c>
      <c r="AW107">
        <f t="shared" si="16"/>
        <v>0</v>
      </c>
      <c r="AX107">
        <f>IF(F108+H108&gt;0,0,1)</f>
        <v>1</v>
      </c>
      <c r="AY107">
        <f t="shared" si="17"/>
        <v>0</v>
      </c>
      <c r="AZ107" s="29">
        <f>-AY107*D107</f>
        <v>0</v>
      </c>
      <c r="BA107" s="29">
        <f>AY107*$E107</f>
        <v>0</v>
      </c>
      <c r="BB107" s="29">
        <f t="shared" si="18"/>
        <v>0</v>
      </c>
      <c r="BC107" s="30">
        <f t="shared" si="19"/>
        <v>3.1251708848072188E-3</v>
      </c>
      <c r="BE107" s="30">
        <f t="shared" si="20"/>
        <v>0</v>
      </c>
      <c r="BF107" s="30">
        <f t="shared" si="21"/>
        <v>2.0316269116398888E-2</v>
      </c>
      <c r="BH107" s="30"/>
    </row>
    <row r="108" spans="1:60" x14ac:dyDescent="0.25">
      <c r="A108" s="1">
        <v>46178</v>
      </c>
      <c r="B108" s="34">
        <v>488.13</v>
      </c>
      <c r="C108" s="34">
        <v>733550</v>
      </c>
      <c r="D108" s="16">
        <v>1.96539074846445E-2</v>
      </c>
      <c r="E108" s="16">
        <v>2.08414053415262E-2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488.13</v>
      </c>
      <c r="M108" s="34">
        <v>733550</v>
      </c>
      <c r="N108" s="35">
        <v>1502.7758998627401</v>
      </c>
      <c r="O108" s="35">
        <v>1499.9485700668399</v>
      </c>
      <c r="P108" s="35">
        <v>1499.60294439476</v>
      </c>
      <c r="Q108" s="35">
        <v>1499.96881141977</v>
      </c>
      <c r="R108" s="34">
        <v>732169.89550672902</v>
      </c>
      <c r="S108" s="34">
        <v>731704.69733333704</v>
      </c>
      <c r="T108" s="34">
        <v>732298.51155233104</v>
      </c>
      <c r="U108" s="16">
        <v>-1.88317686805324E-3</v>
      </c>
      <c r="V108" s="16">
        <v>-2.5187479631838001E-3</v>
      </c>
      <c r="W108" s="16">
        <v>-1.70752808613053E-3</v>
      </c>
      <c r="X108" s="35">
        <v>1502.7758998627401</v>
      </c>
      <c r="Y108" s="35">
        <v>1499.9485700668399</v>
      </c>
      <c r="Z108" s="35">
        <v>1499.60294439476</v>
      </c>
      <c r="AA108" s="35">
        <v>1499.96881141977</v>
      </c>
      <c r="AB108" s="34">
        <v>732169.89550672902</v>
      </c>
      <c r="AC108" s="34">
        <v>731704.69733333704</v>
      </c>
      <c r="AD108" s="34">
        <v>732298.51155233104</v>
      </c>
      <c r="AE108" s="16">
        <v>-1.88317686805324E-3</v>
      </c>
      <c r="AF108" s="16">
        <v>-2.5187479631838001E-3</v>
      </c>
      <c r="AG108" s="16">
        <v>-1.70752808613053E-3</v>
      </c>
      <c r="AI108" s="12"/>
      <c r="AJ108">
        <f>IF($AG108&lt;AI$21,1,0)</f>
        <v>0</v>
      </c>
      <c r="AK108">
        <f>IF($AG108&gt;AI$22,1,0)</f>
        <v>0</v>
      </c>
      <c r="AL108">
        <f t="shared" si="12"/>
        <v>0</v>
      </c>
      <c r="AM108">
        <f>IF(F109+H109&gt;0,0,1)</f>
        <v>1</v>
      </c>
      <c r="AN108">
        <f t="shared" si="13"/>
        <v>0</v>
      </c>
      <c r="AO108" s="29">
        <f>AN108*D108</f>
        <v>0</v>
      </c>
      <c r="AP108" s="29">
        <f>-AN108*$E108</f>
        <v>0</v>
      </c>
      <c r="AQ108" s="29">
        <f t="shared" si="14"/>
        <v>0</v>
      </c>
      <c r="AR108" s="30">
        <f t="shared" si="15"/>
        <v>1.7191098231591671E-2</v>
      </c>
      <c r="AT108" s="12"/>
      <c r="AU108">
        <f>IF($AG108&gt;AT$21,1,0)</f>
        <v>0</v>
      </c>
      <c r="AV108">
        <f>IF($AG108&lt;AT$22,1,0)</f>
        <v>1</v>
      </c>
      <c r="AW108">
        <f t="shared" si="16"/>
        <v>0</v>
      </c>
      <c r="AX108">
        <f>IF(F109+H109&gt;0,0,1)</f>
        <v>1</v>
      </c>
      <c r="AY108">
        <f t="shared" si="17"/>
        <v>0</v>
      </c>
      <c r="AZ108" s="29">
        <f>-AY108*D108</f>
        <v>0</v>
      </c>
      <c r="BA108" s="29">
        <f>AY108*$E108</f>
        <v>0</v>
      </c>
      <c r="BB108" s="29">
        <f t="shared" si="18"/>
        <v>0</v>
      </c>
      <c r="BC108" s="30">
        <f t="shared" si="19"/>
        <v>3.1251708848072188E-3</v>
      </c>
      <c r="BE108" s="30">
        <f t="shared" si="20"/>
        <v>0</v>
      </c>
      <c r="BF108" s="30">
        <f t="shared" si="21"/>
        <v>2.0316269116398888E-2</v>
      </c>
      <c r="BH108" s="30"/>
    </row>
    <row r="109" spans="1:60" x14ac:dyDescent="0.25">
      <c r="A109" s="1">
        <v>46181</v>
      </c>
      <c r="B109" s="34">
        <v>487</v>
      </c>
      <c r="C109" s="34">
        <v>726685</v>
      </c>
      <c r="D109" s="16">
        <v>-2.31764073674748E-3</v>
      </c>
      <c r="E109" s="16">
        <v>-9.4026654310847592E-3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487</v>
      </c>
      <c r="M109" s="34">
        <v>726685</v>
      </c>
      <c r="N109" s="35">
        <v>1492.1663244353099</v>
      </c>
      <c r="O109" s="35">
        <v>1499.9485700668399</v>
      </c>
      <c r="P109" s="35">
        <v>1499.0105797578201</v>
      </c>
      <c r="Q109" s="35">
        <v>1499.2118704662601</v>
      </c>
      <c r="R109" s="34">
        <v>730474.95362255396</v>
      </c>
      <c r="S109" s="34">
        <v>730306.63392024999</v>
      </c>
      <c r="T109" s="34">
        <v>730484.81116142799</v>
      </c>
      <c r="U109" s="16">
        <v>5.2018478262841001E-3</v>
      </c>
      <c r="V109" s="16">
        <v>4.9713962591447902E-3</v>
      </c>
      <c r="W109" s="16">
        <v>5.2153424332020901E-3</v>
      </c>
      <c r="X109" s="35">
        <v>1492.1663244353099</v>
      </c>
      <c r="Y109" s="35">
        <v>1499.9485700668399</v>
      </c>
      <c r="Z109" s="35">
        <v>1499.0105797578201</v>
      </c>
      <c r="AA109" s="35">
        <v>1499.2118704662601</v>
      </c>
      <c r="AB109" s="34">
        <v>730474.95362255396</v>
      </c>
      <c r="AC109" s="34">
        <v>730306.63392024999</v>
      </c>
      <c r="AD109" s="34">
        <v>730484.81116142799</v>
      </c>
      <c r="AE109" s="16">
        <v>5.2018478262841001E-3</v>
      </c>
      <c r="AF109" s="16">
        <v>4.9713962591447902E-3</v>
      </c>
      <c r="AG109" s="16">
        <v>5.2153424332020901E-3</v>
      </c>
      <c r="AI109" s="12"/>
      <c r="AJ109">
        <f>IF($AG109&lt;AI$21,1,0)</f>
        <v>0</v>
      </c>
      <c r="AK109">
        <f>IF($AG109&gt;AI$22,1,0)</f>
        <v>1</v>
      </c>
      <c r="AL109">
        <f t="shared" si="12"/>
        <v>0</v>
      </c>
      <c r="AM109">
        <f>IF(F110+H110&gt;0,0,1)</f>
        <v>1</v>
      </c>
      <c r="AN109">
        <f t="shared" si="13"/>
        <v>0</v>
      </c>
      <c r="AO109" s="29">
        <f>AN109*D109</f>
        <v>0</v>
      </c>
      <c r="AP109" s="29">
        <f>-AN109*$E109</f>
        <v>0</v>
      </c>
      <c r="AQ109" s="29">
        <f t="shared" si="14"/>
        <v>0</v>
      </c>
      <c r="AR109" s="30">
        <f t="shared" si="15"/>
        <v>1.7191098231591671E-2</v>
      </c>
      <c r="AT109" s="12"/>
      <c r="AU109">
        <f>IF($AG109&gt;AT$21,1,0)</f>
        <v>1</v>
      </c>
      <c r="AV109">
        <f>IF($AG109&lt;AT$22,1,0)</f>
        <v>0</v>
      </c>
      <c r="AW109">
        <f t="shared" si="16"/>
        <v>0</v>
      </c>
      <c r="AX109">
        <f>IF(F110+H110&gt;0,0,1)</f>
        <v>1</v>
      </c>
      <c r="AY109">
        <f t="shared" si="17"/>
        <v>0</v>
      </c>
      <c r="AZ109" s="29">
        <f>-AY109*D109</f>
        <v>0</v>
      </c>
      <c r="BA109" s="29">
        <f>AY109*$E109</f>
        <v>0</v>
      </c>
      <c r="BB109" s="29">
        <f t="shared" si="18"/>
        <v>0</v>
      </c>
      <c r="BC109" s="30">
        <f t="shared" si="19"/>
        <v>3.1251708848072188E-3</v>
      </c>
      <c r="BE109" s="30">
        <f t="shared" si="20"/>
        <v>0</v>
      </c>
      <c r="BF109" s="30">
        <f t="shared" si="21"/>
        <v>2.0316269116398888E-2</v>
      </c>
      <c r="BH109" s="30"/>
    </row>
    <row r="110" spans="1:60" x14ac:dyDescent="0.25">
      <c r="A110" s="1">
        <v>46182</v>
      </c>
      <c r="B110" s="34">
        <v>487.77</v>
      </c>
      <c r="C110" s="34">
        <v>729862</v>
      </c>
      <c r="D110" s="16">
        <v>1.5798601929835499E-3</v>
      </c>
      <c r="E110" s="16">
        <v>4.3623790214579296E-3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487.77</v>
      </c>
      <c r="M110" s="34">
        <v>729862</v>
      </c>
      <c r="N110" s="35">
        <v>1496.3240871722301</v>
      </c>
      <c r="O110" s="35">
        <v>1499.9485700668399</v>
      </c>
      <c r="P110" s="35">
        <v>1498.83528821451</v>
      </c>
      <c r="Q110" s="35">
        <v>1498.8534319304899</v>
      </c>
      <c r="R110" s="34">
        <v>731629.91402150504</v>
      </c>
      <c r="S110" s="34">
        <v>731172.39048847405</v>
      </c>
      <c r="T110" s="34">
        <v>731270.57405732805</v>
      </c>
      <c r="U110" s="16">
        <v>2.4193289978096401E-3</v>
      </c>
      <c r="V110" s="16">
        <v>1.7937850722355799E-3</v>
      </c>
      <c r="W110" s="16">
        <v>1.92805843725906E-3</v>
      </c>
      <c r="X110" s="35">
        <v>1496.3240871722301</v>
      </c>
      <c r="Y110" s="35">
        <v>1499.9485700668399</v>
      </c>
      <c r="Z110" s="35">
        <v>1498.83528821451</v>
      </c>
      <c r="AA110" s="35">
        <v>1498.8534319304899</v>
      </c>
      <c r="AB110" s="34">
        <v>731629.91402150504</v>
      </c>
      <c r="AC110" s="34">
        <v>731172.39048847405</v>
      </c>
      <c r="AD110" s="34">
        <v>731270.57405732805</v>
      </c>
      <c r="AE110" s="16">
        <v>2.4193289978096401E-3</v>
      </c>
      <c r="AF110" s="16">
        <v>1.7937850722355799E-3</v>
      </c>
      <c r="AG110" s="16">
        <v>1.92805843725906E-3</v>
      </c>
      <c r="AI110" s="12"/>
      <c r="AJ110">
        <f>IF($AG110&lt;AI$21,1,0)</f>
        <v>0</v>
      </c>
      <c r="AK110">
        <f>IF($AG110&gt;AI$22,1,0)</f>
        <v>1</v>
      </c>
      <c r="AL110">
        <f t="shared" si="12"/>
        <v>0</v>
      </c>
      <c r="AM110">
        <f>IF(F111+H111&gt;0,0,1)</f>
        <v>1</v>
      </c>
      <c r="AN110">
        <f t="shared" si="13"/>
        <v>0</v>
      </c>
      <c r="AO110" s="29">
        <f>AN110*D110</f>
        <v>0</v>
      </c>
      <c r="AP110" s="29">
        <f>-AN110*$E110</f>
        <v>0</v>
      </c>
      <c r="AQ110" s="29">
        <f t="shared" si="14"/>
        <v>0</v>
      </c>
      <c r="AR110" s="30">
        <f t="shared" si="15"/>
        <v>1.7191098231591671E-2</v>
      </c>
      <c r="AT110" s="12"/>
      <c r="AU110">
        <f>IF($AG110&gt;AT$21,1,0)</f>
        <v>0</v>
      </c>
      <c r="AV110">
        <f>IF($AG110&lt;AT$22,1,0)</f>
        <v>0</v>
      </c>
      <c r="AW110">
        <f t="shared" si="16"/>
        <v>1</v>
      </c>
      <c r="AX110">
        <f>IF(F111+H111&gt;0,0,1)</f>
        <v>1</v>
      </c>
      <c r="AY110">
        <f t="shared" si="17"/>
        <v>1</v>
      </c>
      <c r="AZ110" s="29">
        <f>-AY110*D110</f>
        <v>-1.5798601929835499E-3</v>
      </c>
      <c r="BA110" s="29">
        <f>AY110*$E110</f>
        <v>4.3623790214579296E-3</v>
      </c>
      <c r="BB110" s="29">
        <f t="shared" si="18"/>
        <v>2.7825188284743797E-3</v>
      </c>
      <c r="BC110" s="30">
        <f t="shared" si="19"/>
        <v>5.9076897132815985E-3</v>
      </c>
      <c r="BE110" s="30">
        <f t="shared" si="20"/>
        <v>2.7825188284743797E-3</v>
      </c>
      <c r="BF110" s="30">
        <f t="shared" si="21"/>
        <v>2.3098787944873269E-2</v>
      </c>
      <c r="BH110" s="30"/>
    </row>
    <row r="111" spans="1:60" x14ac:dyDescent="0.25">
      <c r="A111" s="1">
        <v>46183</v>
      </c>
      <c r="B111" s="34">
        <v>483.68</v>
      </c>
      <c r="C111" s="34">
        <v>727000</v>
      </c>
      <c r="D111" s="16">
        <v>-8.4204522444253794E-3</v>
      </c>
      <c r="E111" s="16">
        <v>-3.9289976425068004E-3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483.68</v>
      </c>
      <c r="M111" s="34">
        <v>727000</v>
      </c>
      <c r="N111" s="35">
        <v>1503.0598742970501</v>
      </c>
      <c r="O111" s="35">
        <v>1499.9485700668399</v>
      </c>
      <c r="P111" s="35">
        <v>1499.3246395382</v>
      </c>
      <c r="Q111" s="35">
        <v>1498.89713828144</v>
      </c>
      <c r="R111" s="34">
        <v>725495.12436993199</v>
      </c>
      <c r="S111" s="34">
        <v>724956.65220359503</v>
      </c>
      <c r="T111" s="34">
        <v>724965.42795614095</v>
      </c>
      <c r="U111" s="16">
        <v>-2.07212560410883E-3</v>
      </c>
      <c r="V111" s="16">
        <v>-2.81461453034762E-3</v>
      </c>
      <c r="W111" s="16">
        <v>-2.8025093935738201E-3</v>
      </c>
      <c r="X111" s="35">
        <v>1503.0598742970501</v>
      </c>
      <c r="Y111" s="35">
        <v>1499.9485700668399</v>
      </c>
      <c r="Z111" s="35">
        <v>1499.3246395382</v>
      </c>
      <c r="AA111" s="35">
        <v>1498.89713828144</v>
      </c>
      <c r="AB111" s="34">
        <v>725495.12436993199</v>
      </c>
      <c r="AC111" s="34">
        <v>724956.65220359503</v>
      </c>
      <c r="AD111" s="34">
        <v>724965.42795614095</v>
      </c>
      <c r="AE111" s="16">
        <v>-2.07212560410883E-3</v>
      </c>
      <c r="AF111" s="16">
        <v>-2.81461453034762E-3</v>
      </c>
      <c r="AG111" s="16">
        <v>-2.8025093935738201E-3</v>
      </c>
      <c r="AI111" s="12"/>
      <c r="AJ111">
        <f>IF($AG111&lt;AI$21,1,0)</f>
        <v>0</v>
      </c>
      <c r="AK111">
        <f>IF($AG111&gt;AI$22,1,0)</f>
        <v>0</v>
      </c>
      <c r="AL111">
        <f t="shared" si="12"/>
        <v>0</v>
      </c>
      <c r="AM111">
        <f>IF(F112+H112&gt;0,0,1)</f>
        <v>1</v>
      </c>
      <c r="AN111">
        <f t="shared" si="13"/>
        <v>0</v>
      </c>
      <c r="AO111" s="29">
        <f>AN111*D111</f>
        <v>0</v>
      </c>
      <c r="AP111" s="29">
        <f>-AN111*$E111</f>
        <v>0</v>
      </c>
      <c r="AQ111" s="29">
        <f t="shared" si="14"/>
        <v>0</v>
      </c>
      <c r="AR111" s="30">
        <f t="shared" si="15"/>
        <v>1.7191098231591671E-2</v>
      </c>
      <c r="AT111" s="12"/>
      <c r="AU111">
        <f>IF($AG111&gt;AT$21,1,0)</f>
        <v>0</v>
      </c>
      <c r="AV111">
        <f>IF($AG111&lt;AT$22,1,0)</f>
        <v>1</v>
      </c>
      <c r="AW111">
        <f t="shared" si="16"/>
        <v>1</v>
      </c>
      <c r="AX111">
        <f>IF(F112+H112&gt;0,0,1)</f>
        <v>1</v>
      </c>
      <c r="AY111">
        <f t="shared" si="17"/>
        <v>1</v>
      </c>
      <c r="AZ111" s="29">
        <f>-AY111*D111</f>
        <v>8.4204522444253794E-3</v>
      </c>
      <c r="BA111" s="29">
        <f>AY111*$E111</f>
        <v>-3.9289976425068004E-3</v>
      </c>
      <c r="BB111" s="29">
        <f t="shared" si="18"/>
        <v>4.491454601918579E-3</v>
      </c>
      <c r="BC111" s="30">
        <f t="shared" si="19"/>
        <v>1.0399144315200178E-2</v>
      </c>
      <c r="BE111" s="30">
        <f t="shared" si="20"/>
        <v>4.491454601918579E-3</v>
      </c>
      <c r="BF111" s="30">
        <f t="shared" si="21"/>
        <v>2.7590242546791849E-2</v>
      </c>
      <c r="BH111" s="30"/>
    </row>
    <row r="112" spans="1:60" x14ac:dyDescent="0.25">
      <c r="A112" s="1">
        <v>46184</v>
      </c>
      <c r="B112" s="34">
        <v>485.79</v>
      </c>
      <c r="C112" s="34">
        <v>726581</v>
      </c>
      <c r="D112" s="16">
        <v>4.3529007223412101E-3</v>
      </c>
      <c r="E112" s="16">
        <v>-5.7650727631263095E-4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485.79</v>
      </c>
      <c r="M112" s="34">
        <v>726581</v>
      </c>
      <c r="N112" s="35">
        <v>1495.6689104345401</v>
      </c>
      <c r="O112" s="35">
        <v>1499.9485700668399</v>
      </c>
      <c r="P112" s="35">
        <v>1498.98997639456</v>
      </c>
      <c r="Q112" s="35">
        <v>1498.7609038723699</v>
      </c>
      <c r="R112" s="34">
        <v>728660.01585277298</v>
      </c>
      <c r="S112" s="34">
        <v>728356.91664126201</v>
      </c>
      <c r="T112" s="34">
        <v>728149.24080574105</v>
      </c>
      <c r="U112" s="16">
        <v>2.8572823945451401E-3</v>
      </c>
      <c r="V112" s="16">
        <v>2.4412279079793998E-3</v>
      </c>
      <c r="W112" s="16">
        <v>2.1560580364108298E-3</v>
      </c>
      <c r="X112" s="35">
        <v>1495.6689104345401</v>
      </c>
      <c r="Y112" s="35">
        <v>1499.9485700668399</v>
      </c>
      <c r="Z112" s="35">
        <v>1498.98997639456</v>
      </c>
      <c r="AA112" s="35">
        <v>1498.7609038723699</v>
      </c>
      <c r="AB112" s="34">
        <v>728660.01585277298</v>
      </c>
      <c r="AC112" s="34">
        <v>728356.91664126201</v>
      </c>
      <c r="AD112" s="34">
        <v>728149.24080574105</v>
      </c>
      <c r="AE112" s="16">
        <v>2.8572823945451401E-3</v>
      </c>
      <c r="AF112" s="16">
        <v>2.4412279079793998E-3</v>
      </c>
      <c r="AG112" s="16">
        <v>2.1560580364108298E-3</v>
      </c>
      <c r="AI112" s="12"/>
      <c r="AJ112">
        <f>IF($AG112&lt;AI$21,1,0)</f>
        <v>0</v>
      </c>
      <c r="AK112">
        <f>IF($AG112&gt;AI$22,1,0)</f>
        <v>1</v>
      </c>
      <c r="AL112">
        <f t="shared" si="12"/>
        <v>0</v>
      </c>
      <c r="AM112">
        <f>IF(F113+H113&gt;0,0,1)</f>
        <v>1</v>
      </c>
      <c r="AN112">
        <f t="shared" si="13"/>
        <v>0</v>
      </c>
      <c r="AO112" s="29">
        <f>AN112*D112</f>
        <v>0</v>
      </c>
      <c r="AP112" s="29">
        <f>-AN112*$E112</f>
        <v>0</v>
      </c>
      <c r="AQ112" s="29">
        <f t="shared" si="14"/>
        <v>0</v>
      </c>
      <c r="AR112" s="30">
        <f t="shared" si="15"/>
        <v>1.7191098231591671E-2</v>
      </c>
      <c r="AT112" s="12"/>
      <c r="AU112">
        <f>IF($AG112&gt;AT$21,1,0)</f>
        <v>0</v>
      </c>
      <c r="AV112">
        <f>IF($AG112&lt;AT$22,1,0)</f>
        <v>0</v>
      </c>
      <c r="AW112">
        <f t="shared" si="16"/>
        <v>0</v>
      </c>
      <c r="AX112">
        <f>IF(F113+H113&gt;0,0,1)</f>
        <v>1</v>
      </c>
      <c r="AY112">
        <f t="shared" si="17"/>
        <v>0</v>
      </c>
      <c r="AZ112" s="29">
        <f>-AY112*D112</f>
        <v>0</v>
      </c>
      <c r="BA112" s="29">
        <f>AY112*$E112</f>
        <v>0</v>
      </c>
      <c r="BB112" s="29">
        <f t="shared" si="18"/>
        <v>0</v>
      </c>
      <c r="BC112" s="30">
        <f t="shared" si="19"/>
        <v>1.0399144315200178E-2</v>
      </c>
      <c r="BE112" s="30">
        <f t="shared" si="20"/>
        <v>0</v>
      </c>
      <c r="BF112" s="30">
        <f t="shared" si="21"/>
        <v>2.7590242546791849E-2</v>
      </c>
      <c r="BH112" s="30"/>
    </row>
    <row r="113" spans="1:60" x14ac:dyDescent="0.25">
      <c r="A113" s="1">
        <v>46185</v>
      </c>
      <c r="B113" s="34">
        <v>489.25</v>
      </c>
      <c r="C113" s="34">
        <v>732100</v>
      </c>
      <c r="D113" s="16">
        <v>7.0971745226963701E-3</v>
      </c>
      <c r="E113" s="16">
        <v>7.5671463953902399E-3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489.25</v>
      </c>
      <c r="M113" s="34">
        <v>732100</v>
      </c>
      <c r="N113" s="35">
        <v>1496.3719979560501</v>
      </c>
      <c r="O113" s="35">
        <v>1499.9485700668399</v>
      </c>
      <c r="P113" s="35">
        <v>1498.79999696238</v>
      </c>
      <c r="Q113" s="35">
        <v>1498.4669082241601</v>
      </c>
      <c r="R113" s="34">
        <v>733849.83790520404</v>
      </c>
      <c r="S113" s="34">
        <v>733380.84595104202</v>
      </c>
      <c r="T113" s="34">
        <v>733268.77221955801</v>
      </c>
      <c r="U113" s="16">
        <v>2.3873105218511601E-3</v>
      </c>
      <c r="V113" s="16">
        <v>1.74802186016251E-3</v>
      </c>
      <c r="W113" s="16">
        <v>1.59519226771798E-3</v>
      </c>
      <c r="X113" s="35">
        <v>1496.3719979560501</v>
      </c>
      <c r="Y113" s="35">
        <v>1499.9485700668399</v>
      </c>
      <c r="Z113" s="35">
        <v>1498.79999696238</v>
      </c>
      <c r="AA113" s="35">
        <v>1498.4669082241601</v>
      </c>
      <c r="AB113" s="34">
        <v>733849.83790520404</v>
      </c>
      <c r="AC113" s="34">
        <v>733380.84595104202</v>
      </c>
      <c r="AD113" s="34">
        <v>733268.77221955801</v>
      </c>
      <c r="AE113" s="16">
        <v>2.3873105218511601E-3</v>
      </c>
      <c r="AF113" s="16">
        <v>1.74802186016251E-3</v>
      </c>
      <c r="AG113" s="16">
        <v>1.59519226771798E-3</v>
      </c>
      <c r="AI113" s="12"/>
      <c r="AJ113">
        <f>IF($AG113&lt;AI$21,1,0)</f>
        <v>0</v>
      </c>
      <c r="AK113">
        <f>IF($AG113&gt;AI$22,1,0)</f>
        <v>1</v>
      </c>
      <c r="AL113">
        <f t="shared" si="12"/>
        <v>0</v>
      </c>
      <c r="AM113">
        <f>IF(F114+H114&gt;0,0,1)</f>
        <v>1</v>
      </c>
      <c r="AN113">
        <f t="shared" si="13"/>
        <v>0</v>
      </c>
      <c r="AO113" s="29">
        <f>AN113*D113</f>
        <v>0</v>
      </c>
      <c r="AP113" s="29">
        <f>-AN113*$E113</f>
        <v>0</v>
      </c>
      <c r="AQ113" s="29">
        <f t="shared" si="14"/>
        <v>0</v>
      </c>
      <c r="AR113" s="30">
        <f t="shared" si="15"/>
        <v>1.7191098231591671E-2</v>
      </c>
      <c r="AT113" s="12"/>
      <c r="AU113">
        <f>IF($AG113&gt;AT$21,1,0)</f>
        <v>0</v>
      </c>
      <c r="AV113">
        <f>IF($AG113&lt;AT$22,1,0)</f>
        <v>0</v>
      </c>
      <c r="AW113">
        <f t="shared" si="16"/>
        <v>0</v>
      </c>
      <c r="AX113">
        <f>IF(F114+H114&gt;0,0,1)</f>
        <v>1</v>
      </c>
      <c r="AY113">
        <f t="shared" si="17"/>
        <v>0</v>
      </c>
      <c r="AZ113" s="29">
        <f>-AY113*D113</f>
        <v>0</v>
      </c>
      <c r="BA113" s="29">
        <f>AY113*$E113</f>
        <v>0</v>
      </c>
      <c r="BB113" s="29">
        <f t="shared" si="18"/>
        <v>0</v>
      </c>
      <c r="BC113" s="30">
        <f t="shared" si="19"/>
        <v>1.0399144315200178E-2</v>
      </c>
      <c r="BE113" s="30">
        <f t="shared" si="20"/>
        <v>0</v>
      </c>
      <c r="BF113" s="30">
        <f t="shared" si="21"/>
        <v>2.7590242546791849E-2</v>
      </c>
      <c r="BH113" s="30"/>
    </row>
    <row r="114" spans="1:60" x14ac:dyDescent="0.25">
      <c r="A114" s="1">
        <v>46188</v>
      </c>
      <c r="B114" s="34">
        <v>495.52</v>
      </c>
      <c r="C114" s="34">
        <v>742046</v>
      </c>
      <c r="D114" s="16">
        <v>1.27341099487069E-2</v>
      </c>
      <c r="E114" s="16">
        <v>1.34941192023615E-2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495.52</v>
      </c>
      <c r="M114" s="34">
        <v>742046</v>
      </c>
      <c r="N114" s="35">
        <v>1497.50968679367</v>
      </c>
      <c r="O114" s="35">
        <v>1499.9485700668399</v>
      </c>
      <c r="P114" s="35">
        <v>1498.60932112454</v>
      </c>
      <c r="Q114" s="35">
        <v>1498.36611330137</v>
      </c>
      <c r="R114" s="34">
        <v>743254.51543952303</v>
      </c>
      <c r="S114" s="34">
        <v>742685.37449480104</v>
      </c>
      <c r="T114" s="34">
        <v>742520.32236323901</v>
      </c>
      <c r="U114" s="16">
        <v>1.62730126819657E-3</v>
      </c>
      <c r="V114" s="16">
        <v>8.6126628063225405E-4</v>
      </c>
      <c r="W114" s="16">
        <v>6.3900463352094597E-4</v>
      </c>
      <c r="X114" s="35">
        <v>1497.50968679367</v>
      </c>
      <c r="Y114" s="35">
        <v>1499.9485700668399</v>
      </c>
      <c r="Z114" s="35">
        <v>1498.60932112454</v>
      </c>
      <c r="AA114" s="35">
        <v>1498.36611330137</v>
      </c>
      <c r="AB114" s="34">
        <v>743254.51543952303</v>
      </c>
      <c r="AC114" s="34">
        <v>742685.37449480104</v>
      </c>
      <c r="AD114" s="34">
        <v>742520.32236323901</v>
      </c>
      <c r="AE114" s="16">
        <v>1.62730126819657E-3</v>
      </c>
      <c r="AF114" s="16">
        <v>8.6126628063225405E-4</v>
      </c>
      <c r="AG114" s="16">
        <v>6.3900463352094597E-4</v>
      </c>
      <c r="AI114" s="12"/>
      <c r="AJ114">
        <f>IF($AG114&lt;AI$21,1,0)</f>
        <v>0</v>
      </c>
      <c r="AK114">
        <f>IF($AG114&gt;AI$22,1,0)</f>
        <v>1</v>
      </c>
      <c r="AL114">
        <f t="shared" si="12"/>
        <v>0</v>
      </c>
      <c r="AM114">
        <f>IF(F115+H115&gt;0,0,1)</f>
        <v>1</v>
      </c>
      <c r="AN114">
        <f t="shared" si="13"/>
        <v>0</v>
      </c>
      <c r="AO114" s="29">
        <f>AN114*D114</f>
        <v>0</v>
      </c>
      <c r="AP114" s="29">
        <f>-AN114*$E114</f>
        <v>0</v>
      </c>
      <c r="AQ114" s="29">
        <f t="shared" si="14"/>
        <v>0</v>
      </c>
      <c r="AR114" s="30">
        <f t="shared" si="15"/>
        <v>1.7191098231591671E-2</v>
      </c>
      <c r="AT114" s="12"/>
      <c r="AU114">
        <f>IF($AG114&gt;AT$21,1,0)</f>
        <v>0</v>
      </c>
      <c r="AV114">
        <f>IF($AG114&lt;AT$22,1,0)</f>
        <v>1</v>
      </c>
      <c r="AW114">
        <f t="shared" si="16"/>
        <v>0</v>
      </c>
      <c r="AX114">
        <f>IF(F115+H115&gt;0,0,1)</f>
        <v>1</v>
      </c>
      <c r="AY114">
        <f t="shared" si="17"/>
        <v>0</v>
      </c>
      <c r="AZ114" s="29">
        <f>-AY114*D114</f>
        <v>0</v>
      </c>
      <c r="BA114" s="29">
        <f>AY114*$E114</f>
        <v>0</v>
      </c>
      <c r="BB114" s="29">
        <f t="shared" si="18"/>
        <v>0</v>
      </c>
      <c r="BC114" s="30">
        <f t="shared" si="19"/>
        <v>1.0399144315200178E-2</v>
      </c>
      <c r="BE114" s="30">
        <f t="shared" si="20"/>
        <v>0</v>
      </c>
      <c r="BF114" s="30">
        <f t="shared" si="21"/>
        <v>2.7590242546791849E-2</v>
      </c>
      <c r="BH114" s="30"/>
    </row>
    <row r="115" spans="1:60" x14ac:dyDescent="0.25">
      <c r="A115" s="1">
        <v>46189</v>
      </c>
      <c r="B115" s="34">
        <v>494.95</v>
      </c>
      <c r="C115" s="34">
        <v>742386</v>
      </c>
      <c r="D115" s="16">
        <v>-1.1509688590762999E-3</v>
      </c>
      <c r="E115" s="16">
        <v>4.5808768060196799E-4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494.95</v>
      </c>
      <c r="M115" s="34">
        <v>742386</v>
      </c>
      <c r="N115" s="35">
        <v>1499.9212041620301</v>
      </c>
      <c r="O115" s="35">
        <v>1499.9485700668399</v>
      </c>
      <c r="P115" s="35">
        <v>1498.6131061926001</v>
      </c>
      <c r="Q115" s="35">
        <v>1498.6252821543701</v>
      </c>
      <c r="R115" s="34">
        <v>742399.54475458502</v>
      </c>
      <c r="S115" s="34">
        <v>741736.68349059101</v>
      </c>
      <c r="T115" s="34">
        <v>741616.30777851294</v>
      </c>
      <c r="U115" s="16">
        <v>1.8244728518539399E-5</v>
      </c>
      <c r="V115" s="16">
        <v>-8.75017352758061E-4</v>
      </c>
      <c r="W115" s="16">
        <v>-1.03731953309008E-3</v>
      </c>
      <c r="X115" s="35">
        <v>1499.9212041620301</v>
      </c>
      <c r="Y115" s="35">
        <v>1499.9485700668399</v>
      </c>
      <c r="Z115" s="35">
        <v>1498.6131061926001</v>
      </c>
      <c r="AA115" s="35">
        <v>1498.6252821543701</v>
      </c>
      <c r="AB115" s="34">
        <v>742399.54475458502</v>
      </c>
      <c r="AC115" s="34">
        <v>741736.68349059101</v>
      </c>
      <c r="AD115" s="34">
        <v>741616.30777851294</v>
      </c>
      <c r="AE115" s="16">
        <v>1.8244728518539399E-5</v>
      </c>
      <c r="AF115" s="16">
        <v>-8.75017352758061E-4</v>
      </c>
      <c r="AG115" s="16">
        <v>-1.03731953309008E-3</v>
      </c>
      <c r="AI115" s="12"/>
      <c r="AJ115">
        <f>IF($AG115&lt;AI$21,1,0)</f>
        <v>0</v>
      </c>
      <c r="AK115">
        <f>IF($AG115&gt;AI$22,1,0)</f>
        <v>0</v>
      </c>
      <c r="AL115">
        <f t="shared" si="12"/>
        <v>0</v>
      </c>
      <c r="AM115">
        <f>IF(F116+H116&gt;0,0,1)</f>
        <v>1</v>
      </c>
      <c r="AN115">
        <f t="shared" si="13"/>
        <v>0</v>
      </c>
      <c r="AO115" s="29">
        <f>AN115*D115</f>
        <v>0</v>
      </c>
      <c r="AP115" s="29">
        <f>-AN115*$E115</f>
        <v>0</v>
      </c>
      <c r="AQ115" s="29">
        <f t="shared" si="14"/>
        <v>0</v>
      </c>
      <c r="AR115" s="30">
        <f t="shared" si="15"/>
        <v>1.7191098231591671E-2</v>
      </c>
      <c r="AT115" s="12"/>
      <c r="AU115">
        <f>IF($AG115&gt;AT$21,1,0)</f>
        <v>0</v>
      </c>
      <c r="AV115">
        <f>IF($AG115&lt;AT$22,1,0)</f>
        <v>1</v>
      </c>
      <c r="AW115">
        <f t="shared" si="16"/>
        <v>0</v>
      </c>
      <c r="AX115">
        <f>IF(F116+H116&gt;0,0,1)</f>
        <v>1</v>
      </c>
      <c r="AY115">
        <f t="shared" si="17"/>
        <v>0</v>
      </c>
      <c r="AZ115" s="29">
        <f>-AY115*D115</f>
        <v>0</v>
      </c>
      <c r="BA115" s="29">
        <f>AY115*$E115</f>
        <v>0</v>
      </c>
      <c r="BB115" s="29">
        <f t="shared" si="18"/>
        <v>0</v>
      </c>
      <c r="BC115" s="30">
        <f t="shared" si="19"/>
        <v>1.0399144315200178E-2</v>
      </c>
      <c r="BE115" s="30">
        <f t="shared" si="20"/>
        <v>0</v>
      </c>
      <c r="BF115" s="30">
        <f t="shared" si="21"/>
        <v>2.7590242546791849E-2</v>
      </c>
      <c r="BH115" s="30"/>
    </row>
    <row r="116" spans="1:60" x14ac:dyDescent="0.25">
      <c r="A116" s="1">
        <v>46190</v>
      </c>
      <c r="B116" s="34">
        <v>491.28</v>
      </c>
      <c r="C116" s="34">
        <v>737300</v>
      </c>
      <c r="D116" s="16">
        <v>-7.4425173446726698E-3</v>
      </c>
      <c r="E116" s="16">
        <v>-6.87445853995549E-3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491.28</v>
      </c>
      <c r="M116" s="34">
        <v>737300</v>
      </c>
      <c r="N116" s="35">
        <v>1500.7734896596601</v>
      </c>
      <c r="O116" s="35">
        <v>1499.9485700668399</v>
      </c>
      <c r="P116" s="35">
        <v>1498.55638906269</v>
      </c>
      <c r="Q116" s="35">
        <v>1498.67332266158</v>
      </c>
      <c r="R116" s="34">
        <v>736894.73350244004</v>
      </c>
      <c r="S116" s="34">
        <v>736238.64681030402</v>
      </c>
      <c r="T116" s="34">
        <v>736244.62861680298</v>
      </c>
      <c r="U116" s="16">
        <v>-5.4981407619873203E-4</v>
      </c>
      <c r="V116" s="16">
        <v>-1.44055044030946E-3</v>
      </c>
      <c r="W116" s="16">
        <v>-1.4324256532927901E-3</v>
      </c>
      <c r="X116" s="35">
        <v>1500.7734896596601</v>
      </c>
      <c r="Y116" s="35">
        <v>1499.9485700668399</v>
      </c>
      <c r="Z116" s="35">
        <v>1498.55638906269</v>
      </c>
      <c r="AA116" s="35">
        <v>1498.67332266158</v>
      </c>
      <c r="AB116" s="34">
        <v>736894.73350244004</v>
      </c>
      <c r="AC116" s="34">
        <v>736238.64681030402</v>
      </c>
      <c r="AD116" s="34">
        <v>736244.62861680298</v>
      </c>
      <c r="AE116" s="16">
        <v>-5.4981407619873203E-4</v>
      </c>
      <c r="AF116" s="16">
        <v>-1.44055044030946E-3</v>
      </c>
      <c r="AG116" s="16">
        <v>-1.4324256532927901E-3</v>
      </c>
      <c r="AI116" s="12"/>
      <c r="AJ116">
        <f>IF($AG116&lt;AI$21,1,0)</f>
        <v>0</v>
      </c>
      <c r="AK116">
        <f>IF($AG116&gt;AI$22,1,0)</f>
        <v>0</v>
      </c>
      <c r="AL116">
        <f t="shared" si="12"/>
        <v>0</v>
      </c>
      <c r="AM116">
        <f>IF(F117+H117&gt;0,0,1)</f>
        <v>1</v>
      </c>
      <c r="AN116">
        <f t="shared" si="13"/>
        <v>0</v>
      </c>
      <c r="AO116" s="29">
        <f>AN116*D116</f>
        <v>0</v>
      </c>
      <c r="AP116" s="29">
        <f>-AN116*$E116</f>
        <v>0</v>
      </c>
      <c r="AQ116" s="29">
        <f t="shared" si="14"/>
        <v>0</v>
      </c>
      <c r="AR116" s="30">
        <f t="shared" si="15"/>
        <v>1.7191098231591671E-2</v>
      </c>
      <c r="AT116" s="12"/>
      <c r="AU116">
        <f>IF($AG116&gt;AT$21,1,0)</f>
        <v>0</v>
      </c>
      <c r="AV116">
        <f>IF($AG116&lt;AT$22,1,0)</f>
        <v>1</v>
      </c>
      <c r="AW116">
        <f t="shared" si="16"/>
        <v>0</v>
      </c>
      <c r="AX116">
        <f>IF(F117+H117&gt;0,0,1)</f>
        <v>1</v>
      </c>
      <c r="AY116">
        <f t="shared" si="17"/>
        <v>0</v>
      </c>
      <c r="AZ116" s="29">
        <f>-AY116*D116</f>
        <v>0</v>
      </c>
      <c r="BA116" s="29">
        <f>AY116*$E116</f>
        <v>0</v>
      </c>
      <c r="BB116" s="29">
        <f t="shared" si="18"/>
        <v>0</v>
      </c>
      <c r="BC116" s="30">
        <f t="shared" si="19"/>
        <v>1.0399144315200178E-2</v>
      </c>
      <c r="BE116" s="30">
        <f t="shared" si="20"/>
        <v>0</v>
      </c>
      <c r="BF116" s="30">
        <f t="shared" si="21"/>
        <v>2.7590242546791849E-2</v>
      </c>
      <c r="BH116" s="30"/>
    </row>
    <row r="117" spans="1:60" x14ac:dyDescent="0.25">
      <c r="A117" s="1">
        <v>46191</v>
      </c>
      <c r="B117" s="34">
        <v>489.46</v>
      </c>
      <c r="C117" s="34">
        <v>733609.75</v>
      </c>
      <c r="D117" s="16">
        <v>-3.71148742628816E-3</v>
      </c>
      <c r="E117" s="16">
        <v>-5.0176535200772204E-3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489.46</v>
      </c>
      <c r="M117" s="34">
        <v>733609.75</v>
      </c>
      <c r="N117" s="35">
        <v>1498.81450986801</v>
      </c>
      <c r="O117" s="35">
        <v>1499.9485700668399</v>
      </c>
      <c r="P117" s="35">
        <v>1498.33859846413</v>
      </c>
      <c r="Q117" s="35">
        <v>1498.6670737320301</v>
      </c>
      <c r="R117" s="34">
        <v>734164.82710491796</v>
      </c>
      <c r="S117" s="34">
        <v>733483.41019062395</v>
      </c>
      <c r="T117" s="34">
        <v>733540.64450994099</v>
      </c>
      <c r="U117" s="16">
        <v>7.5635201759040001E-4</v>
      </c>
      <c r="V117" s="16">
        <v>-1.7223147529551899E-4</v>
      </c>
      <c r="W117" s="16">
        <v>-9.4203689503453199E-5</v>
      </c>
      <c r="X117" s="35">
        <v>1498.81450986801</v>
      </c>
      <c r="Y117" s="35">
        <v>1499.9485700668399</v>
      </c>
      <c r="Z117" s="35">
        <v>1498.33859846413</v>
      </c>
      <c r="AA117" s="35">
        <v>1498.6670737320301</v>
      </c>
      <c r="AB117" s="34">
        <v>734164.82710491796</v>
      </c>
      <c r="AC117" s="34">
        <v>733483.41019062395</v>
      </c>
      <c r="AD117" s="34">
        <v>733540.64450994099</v>
      </c>
      <c r="AE117" s="16">
        <v>7.5635201759040001E-4</v>
      </c>
      <c r="AF117" s="16">
        <v>-1.7223147529551899E-4</v>
      </c>
      <c r="AG117" s="16">
        <v>-9.4203689503453199E-5</v>
      </c>
      <c r="AI117" s="12"/>
      <c r="AJ117">
        <f>IF($AG117&lt;AI$21,1,0)</f>
        <v>0</v>
      </c>
      <c r="AK117">
        <f>IF($AG117&gt;AI$22,1,0)</f>
        <v>1</v>
      </c>
      <c r="AL117">
        <f t="shared" si="12"/>
        <v>0</v>
      </c>
      <c r="AM117">
        <f>IF(F118+H118&gt;0,0,1)</f>
        <v>1</v>
      </c>
      <c r="AN117">
        <f t="shared" si="13"/>
        <v>0</v>
      </c>
      <c r="AO117" s="29">
        <f>AN117*D117</f>
        <v>0</v>
      </c>
      <c r="AP117" s="29">
        <f>-AN117*$E117</f>
        <v>0</v>
      </c>
      <c r="AQ117" s="29">
        <f t="shared" si="14"/>
        <v>0</v>
      </c>
      <c r="AR117" s="30">
        <f t="shared" si="15"/>
        <v>1.7191098231591671E-2</v>
      </c>
      <c r="AT117" s="12"/>
      <c r="AU117">
        <f>IF($AG117&gt;AT$21,1,0)</f>
        <v>0</v>
      </c>
      <c r="AV117">
        <f>IF($AG117&lt;AT$22,1,0)</f>
        <v>1</v>
      </c>
      <c r="AW117">
        <f t="shared" si="16"/>
        <v>0</v>
      </c>
      <c r="AX117">
        <f>IF(F118+H118&gt;0,0,1)</f>
        <v>1</v>
      </c>
      <c r="AY117">
        <f t="shared" si="17"/>
        <v>0</v>
      </c>
      <c r="AZ117" s="29">
        <f>-AY117*D117</f>
        <v>0</v>
      </c>
      <c r="BA117" s="29">
        <f>AY117*$E117</f>
        <v>0</v>
      </c>
      <c r="BB117" s="29">
        <f t="shared" si="18"/>
        <v>0</v>
      </c>
      <c r="BC117" s="30">
        <f t="shared" si="19"/>
        <v>1.0399144315200178E-2</v>
      </c>
      <c r="BE117" s="30">
        <f t="shared" si="20"/>
        <v>0</v>
      </c>
      <c r="BF117" s="30">
        <f t="shared" si="21"/>
        <v>2.7590242546791849E-2</v>
      </c>
      <c r="BH117" s="30"/>
    </row>
    <row r="118" spans="1:60" x14ac:dyDescent="0.25">
      <c r="A118" s="1">
        <v>46195</v>
      </c>
      <c r="B118" s="34">
        <v>488.69</v>
      </c>
      <c r="C118" s="34">
        <v>734400</v>
      </c>
      <c r="D118" s="16">
        <v>-1.5744009795069199E-3</v>
      </c>
      <c r="E118" s="16">
        <v>1.07662783075291E-3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488.69</v>
      </c>
      <c r="M118" s="34">
        <v>734400</v>
      </c>
      <c r="N118" s="35">
        <v>1502.7931817716701</v>
      </c>
      <c r="O118" s="35">
        <v>1499.9485700668399</v>
      </c>
      <c r="P118" s="35">
        <v>1498.3403266550199</v>
      </c>
      <c r="Q118" s="35">
        <v>1498.97163552489</v>
      </c>
      <c r="R118" s="34">
        <v>733009.866705967</v>
      </c>
      <c r="S118" s="34">
        <v>732223.08968343702</v>
      </c>
      <c r="T118" s="34">
        <v>732383.61226210697</v>
      </c>
      <c r="U118" s="16">
        <v>-1.89467679266951E-3</v>
      </c>
      <c r="V118" s="16">
        <v>-2.9686044499963298E-3</v>
      </c>
      <c r="W118" s="16">
        <v>-2.7494021493390899E-3</v>
      </c>
      <c r="X118" s="35">
        <v>1502.7931817716701</v>
      </c>
      <c r="Y118" s="35">
        <v>1499.9485700668399</v>
      </c>
      <c r="Z118" s="35">
        <v>1498.3403266550199</v>
      </c>
      <c r="AA118" s="35">
        <v>1498.97163552489</v>
      </c>
      <c r="AB118" s="34">
        <v>733009.866705967</v>
      </c>
      <c r="AC118" s="34">
        <v>732223.08968343702</v>
      </c>
      <c r="AD118" s="34">
        <v>732383.61226210697</v>
      </c>
      <c r="AE118" s="16">
        <v>-1.89467679266951E-3</v>
      </c>
      <c r="AF118" s="16">
        <v>-2.9686044499963298E-3</v>
      </c>
      <c r="AG118" s="16">
        <v>-2.7494021493390899E-3</v>
      </c>
      <c r="AI118" s="12"/>
      <c r="AJ118">
        <f>IF($AG118&lt;AI$21,1,0)</f>
        <v>0</v>
      </c>
      <c r="AK118">
        <f>IF($AG118&gt;AI$22,1,0)</f>
        <v>0</v>
      </c>
      <c r="AL118">
        <f t="shared" si="12"/>
        <v>0</v>
      </c>
      <c r="AM118">
        <f>IF(F119+H119&gt;0,0,1)</f>
        <v>1</v>
      </c>
      <c r="AN118">
        <f t="shared" si="13"/>
        <v>0</v>
      </c>
      <c r="AO118" s="29">
        <f>AN118*D118</f>
        <v>0</v>
      </c>
      <c r="AP118" s="29">
        <f>-AN118*$E118</f>
        <v>0</v>
      </c>
      <c r="AQ118" s="29">
        <f t="shared" si="14"/>
        <v>0</v>
      </c>
      <c r="AR118" s="30">
        <f t="shared" si="15"/>
        <v>1.7191098231591671E-2</v>
      </c>
      <c r="AT118" s="12"/>
      <c r="AU118">
        <f>IF($AG118&gt;AT$21,1,0)</f>
        <v>0</v>
      </c>
      <c r="AV118">
        <f>IF($AG118&lt;AT$22,1,0)</f>
        <v>1</v>
      </c>
      <c r="AW118">
        <f t="shared" si="16"/>
        <v>0</v>
      </c>
      <c r="AX118">
        <f>IF(F119+H119&gt;0,0,1)</f>
        <v>1</v>
      </c>
      <c r="AY118">
        <f t="shared" si="17"/>
        <v>0</v>
      </c>
      <c r="AZ118" s="29">
        <f>-AY118*D118</f>
        <v>0</v>
      </c>
      <c r="BA118" s="29">
        <f>AY118*$E118</f>
        <v>0</v>
      </c>
      <c r="BB118" s="29">
        <f t="shared" si="18"/>
        <v>0</v>
      </c>
      <c r="BC118" s="30">
        <f t="shared" si="19"/>
        <v>1.0399144315200178E-2</v>
      </c>
      <c r="BE118" s="30">
        <f t="shared" si="20"/>
        <v>0</v>
      </c>
      <c r="BF118" s="30">
        <f t="shared" si="21"/>
        <v>2.7590242546791849E-2</v>
      </c>
      <c r="BH118" s="30"/>
    </row>
    <row r="119" spans="1:60" x14ac:dyDescent="0.25">
      <c r="A119" s="1">
        <v>46196</v>
      </c>
      <c r="B119" s="34">
        <v>492.81</v>
      </c>
      <c r="C119" s="34">
        <v>737800.06</v>
      </c>
      <c r="D119" s="16">
        <v>8.3953626058696201E-3</v>
      </c>
      <c r="E119" s="16">
        <v>4.6190271791430801E-3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492.81</v>
      </c>
      <c r="M119" s="34">
        <v>737800.06</v>
      </c>
      <c r="N119" s="35">
        <v>1497.12883261297</v>
      </c>
      <c r="O119" s="35">
        <v>1499.9485700668399</v>
      </c>
      <c r="P119" s="35">
        <v>1498.8365774727899</v>
      </c>
      <c r="Q119" s="35">
        <v>1498.9235786152999</v>
      </c>
      <c r="R119" s="34">
        <v>739189.65481464204</v>
      </c>
      <c r="S119" s="34">
        <v>738397.09637886402</v>
      </c>
      <c r="T119" s="34">
        <v>738708.21170302399</v>
      </c>
      <c r="U119" s="16">
        <v>1.8816586340568799E-3</v>
      </c>
      <c r="V119" s="16">
        <v>8.0888438083943903E-4</v>
      </c>
      <c r="W119" s="16">
        <v>1.2301344123143399E-3</v>
      </c>
      <c r="X119" s="35">
        <v>1497.12883261297</v>
      </c>
      <c r="Y119" s="35">
        <v>1499.9485700668399</v>
      </c>
      <c r="Z119" s="35">
        <v>1498.8365774727899</v>
      </c>
      <c r="AA119" s="35">
        <v>1498.9235786152999</v>
      </c>
      <c r="AB119" s="34">
        <v>739189.65481464204</v>
      </c>
      <c r="AC119" s="34">
        <v>738397.09637886402</v>
      </c>
      <c r="AD119" s="34">
        <v>738708.21170302399</v>
      </c>
      <c r="AE119" s="16">
        <v>1.8816586340568799E-3</v>
      </c>
      <c r="AF119" s="16">
        <v>8.0888438083943903E-4</v>
      </c>
      <c r="AG119" s="16">
        <v>1.2301344123143399E-3</v>
      </c>
      <c r="AI119" s="12"/>
      <c r="AJ119">
        <f>IF($AG119&lt;AI$21,1,0)</f>
        <v>0</v>
      </c>
      <c r="AK119">
        <f>IF($AG119&gt;AI$22,1,0)</f>
        <v>1</v>
      </c>
      <c r="AL119">
        <f t="shared" si="12"/>
        <v>0</v>
      </c>
      <c r="AM119">
        <f>IF(F120+H120&gt;0,0,1)</f>
        <v>1</v>
      </c>
      <c r="AN119">
        <f t="shared" si="13"/>
        <v>0</v>
      </c>
      <c r="AO119" s="29">
        <f>AN119*D119</f>
        <v>0</v>
      </c>
      <c r="AP119" s="29">
        <f>-AN119*$E119</f>
        <v>0</v>
      </c>
      <c r="AQ119" s="29">
        <f t="shared" si="14"/>
        <v>0</v>
      </c>
      <c r="AR119" s="30">
        <f t="shared" si="15"/>
        <v>1.7191098231591671E-2</v>
      </c>
      <c r="AT119" s="12"/>
      <c r="AU119">
        <f>IF($AG119&gt;AT$21,1,0)</f>
        <v>0</v>
      </c>
      <c r="AV119">
        <f>IF($AG119&lt;AT$22,1,0)</f>
        <v>0</v>
      </c>
      <c r="AW119">
        <f t="shared" si="16"/>
        <v>0</v>
      </c>
      <c r="AX119">
        <f>IF(F120+H120&gt;0,0,1)</f>
        <v>1</v>
      </c>
      <c r="AY119">
        <f t="shared" si="17"/>
        <v>0</v>
      </c>
      <c r="AZ119" s="29">
        <f>-AY119*D119</f>
        <v>0</v>
      </c>
      <c r="BA119" s="29">
        <f>AY119*$E119</f>
        <v>0</v>
      </c>
      <c r="BB119" s="29">
        <f t="shared" si="18"/>
        <v>0</v>
      </c>
      <c r="BC119" s="30">
        <f t="shared" si="19"/>
        <v>1.0399144315200178E-2</v>
      </c>
      <c r="BE119" s="30">
        <f t="shared" si="20"/>
        <v>0</v>
      </c>
      <c r="BF119" s="30">
        <f t="shared" si="21"/>
        <v>2.7590242546791849E-2</v>
      </c>
      <c r="BH119" s="30"/>
    </row>
    <row r="120" spans="1:60" x14ac:dyDescent="0.25">
      <c r="A120" s="1">
        <v>46197</v>
      </c>
      <c r="B120" s="34">
        <v>494.81</v>
      </c>
      <c r="C120" s="34">
        <v>742900</v>
      </c>
      <c r="D120" s="16">
        <v>4.05014627882539E-3</v>
      </c>
      <c r="E120" s="16">
        <v>6.8885796723366999E-3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494.81</v>
      </c>
      <c r="M120" s="34">
        <v>742900</v>
      </c>
      <c r="N120" s="35">
        <v>1501.3843697580801</v>
      </c>
      <c r="O120" s="35">
        <v>1499.9485700668399</v>
      </c>
      <c r="P120" s="35">
        <v>1499.34260573137</v>
      </c>
      <c r="Q120" s="35">
        <v>1499.08894697294</v>
      </c>
      <c r="R120" s="34">
        <v>742189.55195477605</v>
      </c>
      <c r="S120" s="34">
        <v>741639.32689931197</v>
      </c>
      <c r="T120" s="34">
        <v>741682.37593464099</v>
      </c>
      <c r="U120" s="16">
        <v>-9.5677475945458296E-4</v>
      </c>
      <c r="V120" s="16">
        <v>-1.69840351264031E-3</v>
      </c>
      <c r="W120" s="16">
        <v>-1.6403594143736299E-3</v>
      </c>
      <c r="X120" s="35">
        <v>1501.3843697580801</v>
      </c>
      <c r="Y120" s="35">
        <v>1499.9485700668399</v>
      </c>
      <c r="Z120" s="35">
        <v>1499.34260573137</v>
      </c>
      <c r="AA120" s="35">
        <v>1499.08894697294</v>
      </c>
      <c r="AB120" s="34">
        <v>742189.55195477605</v>
      </c>
      <c r="AC120" s="34">
        <v>741639.32689931197</v>
      </c>
      <c r="AD120" s="34">
        <v>741682.37593464099</v>
      </c>
      <c r="AE120" s="16">
        <v>-9.5677475945458296E-4</v>
      </c>
      <c r="AF120" s="16">
        <v>-1.69840351264031E-3</v>
      </c>
      <c r="AG120" s="16">
        <v>-1.6403594143736299E-3</v>
      </c>
      <c r="AI120" s="12"/>
      <c r="AJ120">
        <f>IF($AG120&lt;AI$21,1,0)</f>
        <v>0</v>
      </c>
      <c r="AK120">
        <f>IF($AG120&gt;AI$22,1,0)</f>
        <v>0</v>
      </c>
      <c r="AL120">
        <f t="shared" si="12"/>
        <v>0</v>
      </c>
      <c r="AM120">
        <f>IF(F121+H121&gt;0,0,1)</f>
        <v>1</v>
      </c>
      <c r="AN120">
        <f t="shared" si="13"/>
        <v>0</v>
      </c>
      <c r="AO120" s="29">
        <f>AN120*D120</f>
        <v>0</v>
      </c>
      <c r="AP120" s="29">
        <f>-AN120*$E120</f>
        <v>0</v>
      </c>
      <c r="AQ120" s="29">
        <f t="shared" si="14"/>
        <v>0</v>
      </c>
      <c r="AR120" s="30">
        <f t="shared" si="15"/>
        <v>1.7191098231591671E-2</v>
      </c>
      <c r="AT120" s="12"/>
      <c r="AU120">
        <f>IF($AG120&gt;AT$21,1,0)</f>
        <v>0</v>
      </c>
      <c r="AV120">
        <f>IF($AG120&lt;AT$22,1,0)</f>
        <v>1</v>
      </c>
      <c r="AW120">
        <f t="shared" si="16"/>
        <v>0</v>
      </c>
      <c r="AX120">
        <f>IF(F121+H121&gt;0,0,1)</f>
        <v>1</v>
      </c>
      <c r="AY120">
        <f t="shared" si="17"/>
        <v>0</v>
      </c>
      <c r="AZ120" s="29">
        <f>-AY120*D120</f>
        <v>0</v>
      </c>
      <c r="BA120" s="29">
        <f>AY120*$E120</f>
        <v>0</v>
      </c>
      <c r="BB120" s="29">
        <f t="shared" si="18"/>
        <v>0</v>
      </c>
      <c r="BC120" s="30">
        <f t="shared" si="19"/>
        <v>1.0399144315200178E-2</v>
      </c>
      <c r="BE120" s="30">
        <f t="shared" si="20"/>
        <v>0</v>
      </c>
      <c r="BF120" s="30">
        <f t="shared" si="21"/>
        <v>2.7590242546791849E-2</v>
      </c>
      <c r="BH120" s="30"/>
    </row>
    <row r="121" spans="1:60" x14ac:dyDescent="0.25">
      <c r="A121" s="1">
        <v>46198</v>
      </c>
      <c r="B121" s="34">
        <v>487.81</v>
      </c>
      <c r="C121" s="34">
        <v>733400</v>
      </c>
      <c r="D121" s="16">
        <v>-1.4247864723347801E-2</v>
      </c>
      <c r="E121" s="16">
        <v>-1.28701905205349E-2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487.81</v>
      </c>
      <c r="M121" s="34">
        <v>733400</v>
      </c>
      <c r="N121" s="35">
        <v>1503.4542137307501</v>
      </c>
      <c r="O121" s="35">
        <v>1499.9485700668399</v>
      </c>
      <c r="P121" s="35">
        <v>1499.3820396747401</v>
      </c>
      <c r="Q121" s="35">
        <v>1499.3533396064699</v>
      </c>
      <c r="R121" s="34">
        <v>731689.911964308</v>
      </c>
      <c r="S121" s="34">
        <v>731394.31650182395</v>
      </c>
      <c r="T121" s="34">
        <v>731270.57922287204</v>
      </c>
      <c r="U121" s="16">
        <v>-2.3344489622675502E-3</v>
      </c>
      <c r="V121" s="16">
        <v>-2.7385206633427799E-3</v>
      </c>
      <c r="W121" s="16">
        <v>-2.9077149601474E-3</v>
      </c>
      <c r="X121" s="35">
        <v>1503.4542137307501</v>
      </c>
      <c r="Y121" s="35">
        <v>1499.9485700668399</v>
      </c>
      <c r="Z121" s="35">
        <v>1499.3820396747401</v>
      </c>
      <c r="AA121" s="35">
        <v>1499.3533396064699</v>
      </c>
      <c r="AB121" s="34">
        <v>731689.911964308</v>
      </c>
      <c r="AC121" s="34">
        <v>731394.31650182395</v>
      </c>
      <c r="AD121" s="34">
        <v>731270.57922287204</v>
      </c>
      <c r="AE121" s="16">
        <v>-2.3344489622675502E-3</v>
      </c>
      <c r="AF121" s="16">
        <v>-2.7385206633427799E-3</v>
      </c>
      <c r="AG121" s="16">
        <v>-2.9077149601474E-3</v>
      </c>
      <c r="AI121" s="12"/>
      <c r="AJ121">
        <f>IF($AG121&lt;AI$21,1,0)</f>
        <v>0</v>
      </c>
      <c r="AK121">
        <f>IF($AG121&gt;AI$22,1,0)</f>
        <v>0</v>
      </c>
      <c r="AL121">
        <f t="shared" si="12"/>
        <v>0</v>
      </c>
      <c r="AM121">
        <f>IF(F122+H122&gt;0,0,1)</f>
        <v>1</v>
      </c>
      <c r="AN121">
        <f t="shared" si="13"/>
        <v>0</v>
      </c>
      <c r="AO121" s="29">
        <f>AN121*D121</f>
        <v>0</v>
      </c>
      <c r="AP121" s="29">
        <f>-AN121*$E121</f>
        <v>0</v>
      </c>
      <c r="AQ121" s="29">
        <f t="shared" si="14"/>
        <v>0</v>
      </c>
      <c r="AR121" s="30">
        <f t="shared" si="15"/>
        <v>1.7191098231591671E-2</v>
      </c>
      <c r="AT121" s="12"/>
      <c r="AU121">
        <f>IF($AG121&gt;AT$21,1,0)</f>
        <v>0</v>
      </c>
      <c r="AV121">
        <f>IF($AG121&lt;AT$22,1,0)</f>
        <v>1</v>
      </c>
      <c r="AW121">
        <f t="shared" si="16"/>
        <v>0</v>
      </c>
      <c r="AX121">
        <f>IF(F122+H122&gt;0,0,1)</f>
        <v>1</v>
      </c>
      <c r="AY121">
        <f t="shared" si="17"/>
        <v>0</v>
      </c>
      <c r="AZ121" s="29">
        <f>-AY121*D121</f>
        <v>0</v>
      </c>
      <c r="BA121" s="29">
        <f>AY121*$E121</f>
        <v>0</v>
      </c>
      <c r="BB121" s="29">
        <f t="shared" si="18"/>
        <v>0</v>
      </c>
      <c r="BC121" s="30">
        <f t="shared" si="19"/>
        <v>1.0399144315200178E-2</v>
      </c>
      <c r="BE121" s="30">
        <f t="shared" si="20"/>
        <v>0</v>
      </c>
      <c r="BF121" s="30">
        <f t="shared" si="21"/>
        <v>2.7590242546791849E-2</v>
      </c>
      <c r="BH121" s="30"/>
    </row>
    <row r="122" spans="1:60" x14ac:dyDescent="0.25">
      <c r="A122" s="1">
        <v>46199</v>
      </c>
      <c r="B122" s="34">
        <v>498.66</v>
      </c>
      <c r="C122" s="34">
        <v>745140</v>
      </c>
      <c r="D122" s="16">
        <v>2.19985150162944E-2</v>
      </c>
      <c r="E122" s="16">
        <v>1.58808645507704E-2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498.66</v>
      </c>
      <c r="M122" s="34">
        <v>745140</v>
      </c>
      <c r="N122" s="35">
        <v>1494.2846829503001</v>
      </c>
      <c r="O122" s="35">
        <v>1499.9485700668399</v>
      </c>
      <c r="P122" s="35">
        <v>1499.2436169263201</v>
      </c>
      <c r="Q122" s="35">
        <v>1499.1167966604401</v>
      </c>
      <c r="R122" s="34">
        <v>747964.35394953296</v>
      </c>
      <c r="S122" s="34">
        <v>747681.84790420998</v>
      </c>
      <c r="T122" s="34">
        <v>747667.53632816498</v>
      </c>
      <c r="U122" s="16">
        <v>3.7832015032565201E-3</v>
      </c>
      <c r="V122" s="16">
        <v>3.4054302785736399E-3</v>
      </c>
      <c r="W122" s="16">
        <v>3.3862888308333798E-3</v>
      </c>
      <c r="X122" s="35">
        <v>1494.2846829503001</v>
      </c>
      <c r="Y122" s="35">
        <v>1499.9485700668399</v>
      </c>
      <c r="Z122" s="35">
        <v>1499.2436169263201</v>
      </c>
      <c r="AA122" s="35">
        <v>1499.1167966604401</v>
      </c>
      <c r="AB122" s="34">
        <v>747964.35394953296</v>
      </c>
      <c r="AC122" s="34">
        <v>747681.84790420998</v>
      </c>
      <c r="AD122" s="34">
        <v>747667.53632816498</v>
      </c>
      <c r="AE122" s="16">
        <v>3.7832015032565201E-3</v>
      </c>
      <c r="AF122" s="16">
        <v>3.4054302785736399E-3</v>
      </c>
      <c r="AG122" s="16">
        <v>3.3862888308333798E-3</v>
      </c>
      <c r="AI122" s="12"/>
      <c r="AJ122">
        <f>IF($AG122&lt;AI$21,1,0)</f>
        <v>0</v>
      </c>
      <c r="AK122">
        <f>IF($AG122&gt;AI$22,1,0)</f>
        <v>1</v>
      </c>
      <c r="AL122">
        <f t="shared" si="12"/>
        <v>0</v>
      </c>
      <c r="AM122">
        <f>IF(F123+H123&gt;0,0,1)</f>
        <v>1</v>
      </c>
      <c r="AN122">
        <f t="shared" si="13"/>
        <v>0</v>
      </c>
      <c r="AO122" s="29">
        <f>AN122*D122</f>
        <v>0</v>
      </c>
      <c r="AP122" s="29">
        <f>-AN122*$E122</f>
        <v>0</v>
      </c>
      <c r="AQ122" s="29">
        <f t="shared" si="14"/>
        <v>0</v>
      </c>
      <c r="AR122" s="30">
        <f t="shared" si="15"/>
        <v>1.7191098231591671E-2</v>
      </c>
      <c r="AT122" s="12"/>
      <c r="AU122">
        <f>IF($AG122&gt;AT$21,1,0)</f>
        <v>0</v>
      </c>
      <c r="AV122">
        <f>IF($AG122&lt;AT$22,1,0)</f>
        <v>0</v>
      </c>
      <c r="AW122">
        <f t="shared" si="16"/>
        <v>0</v>
      </c>
      <c r="AX122">
        <f>IF(F123+H123&gt;0,0,1)</f>
        <v>1</v>
      </c>
      <c r="AY122">
        <f t="shared" si="17"/>
        <v>0</v>
      </c>
      <c r="AZ122" s="29">
        <f>-AY122*D122</f>
        <v>0</v>
      </c>
      <c r="BA122" s="29">
        <f>AY122*$E122</f>
        <v>0</v>
      </c>
      <c r="BB122" s="29">
        <f t="shared" si="18"/>
        <v>0</v>
      </c>
      <c r="BC122" s="30">
        <f t="shared" si="19"/>
        <v>1.0399144315200178E-2</v>
      </c>
      <c r="BE122" s="30">
        <f t="shared" si="20"/>
        <v>0</v>
      </c>
      <c r="BF122" s="30">
        <f t="shared" si="21"/>
        <v>2.7590242546791849E-2</v>
      </c>
      <c r="BH122" s="30"/>
    </row>
    <row r="123" spans="1:60" x14ac:dyDescent="0.25">
      <c r="A123" s="1">
        <v>46202</v>
      </c>
      <c r="B123" s="34">
        <v>496</v>
      </c>
      <c r="C123" s="34">
        <v>743510</v>
      </c>
      <c r="D123" s="16">
        <v>-5.34857406806254E-3</v>
      </c>
      <c r="E123" s="16">
        <v>-2.18990447910977E-3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496</v>
      </c>
      <c r="M123" s="34">
        <v>743510</v>
      </c>
      <c r="N123" s="35">
        <v>1499.01209677419</v>
      </c>
      <c r="O123" s="35">
        <v>1499.9485700668399</v>
      </c>
      <c r="P123" s="35">
        <v>1499.50762680813</v>
      </c>
      <c r="Q123" s="35">
        <v>1499.15381188526</v>
      </c>
      <c r="R123" s="34">
        <v>743974.49075315602</v>
      </c>
      <c r="S123" s="34">
        <v>743624.83399545704</v>
      </c>
      <c r="T123" s="34">
        <v>743561.93114358105</v>
      </c>
      <c r="U123" s="16">
        <v>6.2453191430354704E-4</v>
      </c>
      <c r="V123" s="16">
        <v>1.5443656225431899E-4</v>
      </c>
      <c r="W123" s="16">
        <v>6.9843485731456903E-5</v>
      </c>
      <c r="X123" s="35">
        <v>1499.01209677419</v>
      </c>
      <c r="Y123" s="35">
        <v>1499.9485700668399</v>
      </c>
      <c r="Z123" s="35">
        <v>1499.50762680813</v>
      </c>
      <c r="AA123" s="35">
        <v>1499.15381188526</v>
      </c>
      <c r="AB123" s="34">
        <v>743974.49075315602</v>
      </c>
      <c r="AC123" s="34">
        <v>743624.83399545704</v>
      </c>
      <c r="AD123" s="34">
        <v>743561.93114358105</v>
      </c>
      <c r="AE123" s="16">
        <v>6.2453191430354704E-4</v>
      </c>
      <c r="AF123" s="16">
        <v>1.5443656225431899E-4</v>
      </c>
      <c r="AG123" s="16">
        <v>6.9843485731456903E-5</v>
      </c>
      <c r="AI123" s="12"/>
      <c r="AJ123">
        <f>IF($AG123&lt;AI$21,1,0)</f>
        <v>0</v>
      </c>
      <c r="AK123">
        <f>IF($AG123&gt;AI$22,1,0)</f>
        <v>1</v>
      </c>
      <c r="AL123">
        <f t="shared" si="12"/>
        <v>0</v>
      </c>
      <c r="AM123">
        <f>IF(F124+H124&gt;0,0,1)</f>
        <v>1</v>
      </c>
      <c r="AN123">
        <f t="shared" si="13"/>
        <v>0</v>
      </c>
      <c r="AO123" s="29">
        <f>AN123*D123</f>
        <v>0</v>
      </c>
      <c r="AP123" s="29">
        <f>-AN123*$E123</f>
        <v>0</v>
      </c>
      <c r="AQ123" s="29">
        <f t="shared" si="14"/>
        <v>0</v>
      </c>
      <c r="AR123" s="30">
        <f t="shared" si="15"/>
        <v>1.7191098231591671E-2</v>
      </c>
      <c r="AT123" s="12"/>
      <c r="AU123">
        <f>IF($AG123&gt;AT$21,1,0)</f>
        <v>0</v>
      </c>
      <c r="AV123">
        <f>IF($AG123&lt;AT$22,1,0)</f>
        <v>1</v>
      </c>
      <c r="AW123">
        <f t="shared" si="16"/>
        <v>0</v>
      </c>
      <c r="AX123">
        <f>IF(F124+H124&gt;0,0,1)</f>
        <v>1</v>
      </c>
      <c r="AY123">
        <f t="shared" si="17"/>
        <v>0</v>
      </c>
      <c r="AZ123" s="29">
        <f>-AY123*D123</f>
        <v>0</v>
      </c>
      <c r="BA123" s="29">
        <f>AY123*$E123</f>
        <v>0</v>
      </c>
      <c r="BB123" s="29">
        <f t="shared" si="18"/>
        <v>0</v>
      </c>
      <c r="BC123" s="30">
        <f t="shared" si="19"/>
        <v>1.0399144315200178E-2</v>
      </c>
      <c r="BE123" s="30">
        <f t="shared" si="20"/>
        <v>0</v>
      </c>
      <c r="BF123" s="30">
        <f t="shared" si="21"/>
        <v>2.7590242546791849E-2</v>
      </c>
      <c r="BH123" s="30"/>
    </row>
    <row r="124" spans="1:60" x14ac:dyDescent="0.25">
      <c r="A124" s="1">
        <v>46203</v>
      </c>
      <c r="B124" s="34">
        <v>500.39</v>
      </c>
      <c r="C124" s="34">
        <v>748850</v>
      </c>
      <c r="D124" s="16">
        <v>8.8118676553557203E-3</v>
      </c>
      <c r="E124" s="16">
        <v>7.1564807295181202E-3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500.39</v>
      </c>
      <c r="M124" s="34">
        <v>748850</v>
      </c>
      <c r="N124" s="35">
        <v>1496.53270449049</v>
      </c>
      <c r="O124" s="35">
        <v>1499.9485700668399</v>
      </c>
      <c r="P124" s="35">
        <v>1499.40992857782</v>
      </c>
      <c r="Q124" s="35">
        <v>1499.00962485118</v>
      </c>
      <c r="R124" s="34">
        <v>750559.26497574896</v>
      </c>
      <c r="S124" s="34">
        <v>750338.621378524</v>
      </c>
      <c r="T124" s="34">
        <v>750161.57592926605</v>
      </c>
      <c r="U124" s="16">
        <v>2.2799188401411699E-3</v>
      </c>
      <c r="V124" s="16">
        <v>1.9859033700410701E-3</v>
      </c>
      <c r="W124" s="16">
        <v>1.7499214616119099E-3</v>
      </c>
      <c r="X124" s="35">
        <v>1496.53270449049</v>
      </c>
      <c r="Y124" s="35">
        <v>1499.9485700668399</v>
      </c>
      <c r="Z124" s="35">
        <v>1499.40992857782</v>
      </c>
      <c r="AA124" s="35">
        <v>1499.00962485118</v>
      </c>
      <c r="AB124" s="34">
        <v>750559.26497574896</v>
      </c>
      <c r="AC124" s="34">
        <v>750338.621378524</v>
      </c>
      <c r="AD124" s="34">
        <v>750161.57592926605</v>
      </c>
      <c r="AE124" s="16">
        <v>2.2799188401411699E-3</v>
      </c>
      <c r="AF124" s="16">
        <v>1.9859033700410701E-3</v>
      </c>
      <c r="AG124" s="16">
        <v>1.7499214616119099E-3</v>
      </c>
      <c r="AI124" s="12"/>
      <c r="AJ124">
        <f>IF($AG124&lt;AI$21,1,0)</f>
        <v>0</v>
      </c>
      <c r="AK124">
        <f>IF($AG124&gt;AI$22,1,0)</f>
        <v>1</v>
      </c>
      <c r="AL124">
        <f t="shared" si="12"/>
        <v>0</v>
      </c>
      <c r="AM124">
        <f>IF(F125+H125&gt;0,0,1)</f>
        <v>1</v>
      </c>
      <c r="AN124">
        <f t="shared" si="13"/>
        <v>0</v>
      </c>
      <c r="AO124" s="29">
        <f>AN124*D124</f>
        <v>0</v>
      </c>
      <c r="AP124" s="29">
        <f>-AN124*$E124</f>
        <v>0</v>
      </c>
      <c r="AQ124" s="29">
        <f t="shared" si="14"/>
        <v>0</v>
      </c>
      <c r="AR124" s="30">
        <f t="shared" si="15"/>
        <v>1.7191098231591671E-2</v>
      </c>
      <c r="AT124" s="12"/>
      <c r="AU124">
        <f>IF($AG124&gt;AT$21,1,0)</f>
        <v>0</v>
      </c>
      <c r="AV124">
        <f>IF($AG124&lt;AT$22,1,0)</f>
        <v>0</v>
      </c>
      <c r="AW124">
        <f t="shared" si="16"/>
        <v>0</v>
      </c>
      <c r="AX124">
        <f>IF(F125+H125&gt;0,0,1)</f>
        <v>1</v>
      </c>
      <c r="AY124">
        <f t="shared" si="17"/>
        <v>0</v>
      </c>
      <c r="AZ124" s="29">
        <f>-AY124*D124</f>
        <v>0</v>
      </c>
      <c r="BA124" s="29">
        <f>AY124*$E124</f>
        <v>0</v>
      </c>
      <c r="BB124" s="29">
        <f t="shared" si="18"/>
        <v>0</v>
      </c>
      <c r="BC124" s="30">
        <f t="shared" si="19"/>
        <v>1.0399144315200178E-2</v>
      </c>
      <c r="BE124" s="30">
        <f t="shared" si="20"/>
        <v>0</v>
      </c>
      <c r="BF124" s="30">
        <f t="shared" si="21"/>
        <v>2.7590242546791849E-2</v>
      </c>
      <c r="BH124" s="30"/>
    </row>
    <row r="125" spans="1:60" x14ac:dyDescent="0.25">
      <c r="A125" s="1">
        <v>46204</v>
      </c>
      <c r="B125" s="34">
        <v>499.74</v>
      </c>
      <c r="C125" s="34">
        <v>751000</v>
      </c>
      <c r="D125" s="16">
        <v>-1.29983120497906E-3</v>
      </c>
      <c r="E125" s="16">
        <v>2.8669553257300402E-3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499.74</v>
      </c>
      <c r="M125" s="34">
        <v>751000</v>
      </c>
      <c r="N125" s="35">
        <v>1502.7814463520999</v>
      </c>
      <c r="O125" s="35">
        <v>1499.9485700668399</v>
      </c>
      <c r="P125" s="35">
        <v>1499.6959527968199</v>
      </c>
      <c r="Q125" s="35">
        <v>1499.15452949471</v>
      </c>
      <c r="R125" s="34">
        <v>749584.29840520595</v>
      </c>
      <c r="S125" s="34">
        <v>749315.11770747998</v>
      </c>
      <c r="T125" s="34">
        <v>749115.06992312905</v>
      </c>
      <c r="U125" s="16">
        <v>-1.88686769056811E-3</v>
      </c>
      <c r="V125" s="16">
        <v>-2.2460388233683402E-3</v>
      </c>
      <c r="W125" s="16">
        <v>-2.5130486409642E-3</v>
      </c>
      <c r="X125" s="35">
        <v>1502.7814463520999</v>
      </c>
      <c r="Y125" s="35">
        <v>1499.9485700668399</v>
      </c>
      <c r="Z125" s="35">
        <v>1499.6959527968199</v>
      </c>
      <c r="AA125" s="35">
        <v>1499.15452949471</v>
      </c>
      <c r="AB125" s="34">
        <v>749584.29840520595</v>
      </c>
      <c r="AC125" s="34">
        <v>749315.11770747998</v>
      </c>
      <c r="AD125" s="34">
        <v>749115.06992312905</v>
      </c>
      <c r="AE125" s="16">
        <v>-1.88686769056811E-3</v>
      </c>
      <c r="AF125" s="16">
        <v>-2.2460388233683402E-3</v>
      </c>
      <c r="AG125" s="16">
        <v>-2.5130486409642E-3</v>
      </c>
      <c r="AI125" s="12"/>
      <c r="AJ125">
        <f>IF($AG125&lt;AI$21,1,0)</f>
        <v>0</v>
      </c>
      <c r="AK125">
        <f>IF($AG125&gt;AI$22,1,0)</f>
        <v>0</v>
      </c>
      <c r="AL125">
        <f t="shared" si="12"/>
        <v>0</v>
      </c>
      <c r="AM125">
        <f>IF(F126+H126&gt;0,0,1)</f>
        <v>1</v>
      </c>
      <c r="AN125">
        <f t="shared" si="13"/>
        <v>0</v>
      </c>
      <c r="AO125" s="29">
        <f>AN125*D125</f>
        <v>0</v>
      </c>
      <c r="AP125" s="29">
        <f>-AN125*$E125</f>
        <v>0</v>
      </c>
      <c r="AQ125" s="29">
        <f t="shared" si="14"/>
        <v>0</v>
      </c>
      <c r="AR125" s="30">
        <f t="shared" si="15"/>
        <v>1.7191098231591671E-2</v>
      </c>
      <c r="AT125" s="12"/>
      <c r="AU125">
        <f>IF($AG125&gt;AT$21,1,0)</f>
        <v>0</v>
      </c>
      <c r="AV125">
        <f>IF($AG125&lt;AT$22,1,0)</f>
        <v>1</v>
      </c>
      <c r="AW125">
        <f t="shared" si="16"/>
        <v>0</v>
      </c>
      <c r="AX125">
        <f>IF(F126+H126&gt;0,0,1)</f>
        <v>1</v>
      </c>
      <c r="AY125">
        <f t="shared" si="17"/>
        <v>0</v>
      </c>
      <c r="AZ125" s="29">
        <f>-AY125*D125</f>
        <v>0</v>
      </c>
      <c r="BA125" s="29">
        <f>AY125*$E125</f>
        <v>0</v>
      </c>
      <c r="BB125" s="29">
        <f t="shared" si="18"/>
        <v>0</v>
      </c>
      <c r="BC125" s="30">
        <f t="shared" si="19"/>
        <v>1.0399144315200178E-2</v>
      </c>
      <c r="BE125" s="30">
        <f t="shared" si="20"/>
        <v>0</v>
      </c>
      <c r="BF125" s="30">
        <f t="shared" si="21"/>
        <v>2.7590242546791849E-2</v>
      </c>
      <c r="BH125" s="30"/>
    </row>
    <row r="126" spans="1:60" x14ac:dyDescent="0.25">
      <c r="A126" s="1">
        <v>46205</v>
      </c>
      <c r="B126" s="34">
        <v>507.78</v>
      </c>
      <c r="C126" s="34">
        <v>761580</v>
      </c>
      <c r="D126" s="16">
        <v>1.5960319734765499E-2</v>
      </c>
      <c r="E126" s="16">
        <v>1.3989570864006E-2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507.78</v>
      </c>
      <c r="M126" s="34">
        <v>761580</v>
      </c>
      <c r="N126" s="35">
        <v>1499.82275788727</v>
      </c>
      <c r="O126" s="35">
        <v>1499.9485700668399</v>
      </c>
      <c r="P126" s="35">
        <v>1499.6008796195799</v>
      </c>
      <c r="Q126" s="35">
        <v>1499.0786343411301</v>
      </c>
      <c r="R126" s="34">
        <v>761643.88490854297</v>
      </c>
      <c r="S126" s="34">
        <v>761515.61091117305</v>
      </c>
      <c r="T126" s="34">
        <v>761240.68698682694</v>
      </c>
      <c r="U126" s="16">
        <v>8.3881180191431998E-5</v>
      </c>
      <c r="V126" s="16">
        <v>-8.4550291398364499E-5</v>
      </c>
      <c r="W126" s="16">
        <v>-4.45637522115695E-4</v>
      </c>
      <c r="X126" s="35">
        <v>1499.82275788727</v>
      </c>
      <c r="Y126" s="35">
        <v>1499.9485700668399</v>
      </c>
      <c r="Z126" s="35">
        <v>1499.6008796195799</v>
      </c>
      <c r="AA126" s="35">
        <v>1499.0786343411301</v>
      </c>
      <c r="AB126" s="34">
        <v>761643.88490854297</v>
      </c>
      <c r="AC126" s="34">
        <v>761515.61091117305</v>
      </c>
      <c r="AD126" s="34">
        <v>761240.68698682694</v>
      </c>
      <c r="AE126" s="16">
        <v>8.3881180191431998E-5</v>
      </c>
      <c r="AF126" s="16">
        <v>-8.4550291398364499E-5</v>
      </c>
      <c r="AG126" s="16">
        <v>-4.45637522115695E-4</v>
      </c>
      <c r="AI126" s="12"/>
      <c r="AJ126">
        <f>IF($AG126&lt;AI$21,1,0)</f>
        <v>0</v>
      </c>
      <c r="AK126">
        <f>IF($AG126&gt;AI$22,1,0)</f>
        <v>1</v>
      </c>
      <c r="AL126">
        <f t="shared" si="12"/>
        <v>0</v>
      </c>
      <c r="AM126">
        <f>IF(F127+H127&gt;0,0,1)</f>
        <v>1</v>
      </c>
      <c r="AN126">
        <f t="shared" si="13"/>
        <v>0</v>
      </c>
      <c r="AO126" s="29">
        <f>AN126*D126</f>
        <v>0</v>
      </c>
      <c r="AP126" s="29">
        <f>-AN126*$E126</f>
        <v>0</v>
      </c>
      <c r="AQ126" s="29">
        <f t="shared" si="14"/>
        <v>0</v>
      </c>
      <c r="AR126" s="30">
        <f t="shared" si="15"/>
        <v>1.7191098231591671E-2</v>
      </c>
      <c r="AT126" s="12"/>
      <c r="AU126">
        <f>IF($AG126&gt;AT$21,1,0)</f>
        <v>0</v>
      </c>
      <c r="AV126">
        <f>IF($AG126&lt;AT$22,1,0)</f>
        <v>1</v>
      </c>
      <c r="AW126">
        <f t="shared" si="16"/>
        <v>0</v>
      </c>
      <c r="AX126">
        <f>IF(F127+H127&gt;0,0,1)</f>
        <v>1</v>
      </c>
      <c r="AY126">
        <f t="shared" si="17"/>
        <v>0</v>
      </c>
      <c r="AZ126" s="29">
        <f>-AY126*D126</f>
        <v>0</v>
      </c>
      <c r="BA126" s="29">
        <f>AY126*$E126</f>
        <v>0</v>
      </c>
      <c r="BB126" s="29">
        <f t="shared" si="18"/>
        <v>0</v>
      </c>
      <c r="BC126" s="30">
        <f t="shared" si="19"/>
        <v>1.0399144315200178E-2</v>
      </c>
      <c r="BE126" s="30">
        <f t="shared" si="20"/>
        <v>0</v>
      </c>
      <c r="BF126" s="30">
        <f t="shared" si="21"/>
        <v>2.7590242546791849E-2</v>
      </c>
      <c r="BH126" s="30"/>
    </row>
    <row r="127" spans="1:60" x14ac:dyDescent="0.25">
      <c r="A127" s="1">
        <v>46209</v>
      </c>
      <c r="B127" s="34">
        <v>506.58</v>
      </c>
      <c r="C127" s="34">
        <v>757000</v>
      </c>
      <c r="D127" s="16">
        <v>-2.36602500060598E-3</v>
      </c>
      <c r="E127" s="16">
        <v>-6.0319691906919898E-3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506.58</v>
      </c>
      <c r="M127" s="34">
        <v>757000</v>
      </c>
      <c r="N127" s="35">
        <v>1494.33455722689</v>
      </c>
      <c r="O127" s="35">
        <v>1499.9485700668399</v>
      </c>
      <c r="P127" s="35">
        <v>1499.15288435547</v>
      </c>
      <c r="Q127" s="35">
        <v>1498.7457414098001</v>
      </c>
      <c r="R127" s="34">
        <v>759843.94662446296</v>
      </c>
      <c r="S127" s="34">
        <v>759667.81359769101</v>
      </c>
      <c r="T127" s="34">
        <v>759403.25458453398</v>
      </c>
      <c r="U127" s="16">
        <v>3.7498253702773899E-3</v>
      </c>
      <c r="V127" s="16">
        <v>3.5179969209404201E-3</v>
      </c>
      <c r="W127" s="16">
        <v>3.1696800826135599E-3</v>
      </c>
      <c r="X127" s="35">
        <v>1494.33455722689</v>
      </c>
      <c r="Y127" s="35">
        <v>1499.9485700668399</v>
      </c>
      <c r="Z127" s="35">
        <v>1499.15288435547</v>
      </c>
      <c r="AA127" s="35">
        <v>1498.7457414098001</v>
      </c>
      <c r="AB127" s="34">
        <v>759843.94662446296</v>
      </c>
      <c r="AC127" s="34">
        <v>759667.81359769101</v>
      </c>
      <c r="AD127" s="34">
        <v>759403.25458453398</v>
      </c>
      <c r="AE127" s="16">
        <v>3.7498253702773899E-3</v>
      </c>
      <c r="AF127" s="16">
        <v>3.5179969209404201E-3</v>
      </c>
      <c r="AG127" s="16">
        <v>3.1696800826135599E-3</v>
      </c>
      <c r="AI127" s="12"/>
      <c r="AJ127">
        <f>IF($AG127&lt;AI$21,1,0)</f>
        <v>0</v>
      </c>
      <c r="AK127">
        <f>IF($AG127&gt;AI$22,1,0)</f>
        <v>1</v>
      </c>
      <c r="AL127">
        <f t="shared" si="12"/>
        <v>0</v>
      </c>
      <c r="AM127">
        <f>IF(F128+H128&gt;0,0,1)</f>
        <v>1</v>
      </c>
      <c r="AN127">
        <f t="shared" si="13"/>
        <v>0</v>
      </c>
      <c r="AO127" s="29">
        <f>AN127*D127</f>
        <v>0</v>
      </c>
      <c r="AP127" s="29">
        <f>-AN127*$E127</f>
        <v>0</v>
      </c>
      <c r="AQ127" s="29">
        <f t="shared" si="14"/>
        <v>0</v>
      </c>
      <c r="AR127" s="30">
        <f t="shared" si="15"/>
        <v>1.7191098231591671E-2</v>
      </c>
      <c r="AT127" s="12"/>
      <c r="AU127">
        <f>IF($AG127&gt;AT$21,1,0)</f>
        <v>0</v>
      </c>
      <c r="AV127">
        <f>IF($AG127&lt;AT$22,1,0)</f>
        <v>0</v>
      </c>
      <c r="AW127">
        <f t="shared" si="16"/>
        <v>0</v>
      </c>
      <c r="AX127">
        <f>IF(F128+H128&gt;0,0,1)</f>
        <v>1</v>
      </c>
      <c r="AY127">
        <f t="shared" si="17"/>
        <v>0</v>
      </c>
      <c r="AZ127" s="29">
        <f>-AY127*D127</f>
        <v>0</v>
      </c>
      <c r="BA127" s="29">
        <f>AY127*$E127</f>
        <v>0</v>
      </c>
      <c r="BB127" s="29">
        <f t="shared" si="18"/>
        <v>0</v>
      </c>
      <c r="BC127" s="30">
        <f t="shared" si="19"/>
        <v>1.0399144315200178E-2</v>
      </c>
      <c r="BE127" s="30">
        <f t="shared" si="20"/>
        <v>0</v>
      </c>
      <c r="BF127" s="30">
        <f t="shared" si="21"/>
        <v>2.7590242546791849E-2</v>
      </c>
      <c r="BH127" s="30"/>
    </row>
    <row r="128" spans="1:60" x14ac:dyDescent="0.25">
      <c r="A128" s="1">
        <v>46210</v>
      </c>
      <c r="B128" s="34">
        <v>504</v>
      </c>
      <c r="C128" s="34">
        <v>756000</v>
      </c>
      <c r="D128" s="16">
        <v>-5.1059898380948999E-3</v>
      </c>
      <c r="E128" s="16">
        <v>-1.3218772579158199E-3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504</v>
      </c>
      <c r="M128" s="34">
        <v>756000</v>
      </c>
      <c r="N128" s="35">
        <v>1500</v>
      </c>
      <c r="O128" s="35">
        <v>1499.9485700668399</v>
      </c>
      <c r="P128" s="35">
        <v>1498.8735661783001</v>
      </c>
      <c r="Q128" s="35">
        <v>1498.6069464166601</v>
      </c>
      <c r="R128" s="34">
        <v>755974.07931368996</v>
      </c>
      <c r="S128" s="34">
        <v>755573.05371516</v>
      </c>
      <c r="T128" s="34">
        <v>755367.85367054201</v>
      </c>
      <c r="U128" s="16">
        <v>-3.4287209901805402E-5</v>
      </c>
      <c r="V128" s="16">
        <v>-5.6490329083884005E-4</v>
      </c>
      <c r="W128" s="16">
        <v>-8.3652218060051699E-4</v>
      </c>
      <c r="X128" s="35">
        <v>1500</v>
      </c>
      <c r="Y128" s="35">
        <v>1499.9485700668399</v>
      </c>
      <c r="Z128" s="35">
        <v>1498.8735661783001</v>
      </c>
      <c r="AA128" s="35">
        <v>1498.6069464166601</v>
      </c>
      <c r="AB128" s="34">
        <v>755974.07931368996</v>
      </c>
      <c r="AC128" s="34">
        <v>755573.05371516</v>
      </c>
      <c r="AD128" s="34">
        <v>755367.85367054201</v>
      </c>
      <c r="AE128" s="16">
        <v>-3.4287209901805402E-5</v>
      </c>
      <c r="AF128" s="16">
        <v>-5.6490329083884005E-4</v>
      </c>
      <c r="AG128" s="16">
        <v>-8.3652218060051699E-4</v>
      </c>
      <c r="AI128" s="12"/>
      <c r="AJ128">
        <f>IF($AG128&lt;AI$21,1,0)</f>
        <v>0</v>
      </c>
      <c r="AK128">
        <f>IF($AG128&gt;AI$22,1,0)</f>
        <v>1</v>
      </c>
      <c r="AL128">
        <f t="shared" si="12"/>
        <v>0</v>
      </c>
      <c r="AM128">
        <f>IF(F129+H129&gt;0,0,1)</f>
        <v>1</v>
      </c>
      <c r="AN128">
        <f t="shared" si="13"/>
        <v>0</v>
      </c>
      <c r="AO128" s="29">
        <f>AN128*D128</f>
        <v>0</v>
      </c>
      <c r="AP128" s="29">
        <f>-AN128*$E128</f>
        <v>0</v>
      </c>
      <c r="AQ128" s="29">
        <f t="shared" si="14"/>
        <v>0</v>
      </c>
      <c r="AR128" s="30">
        <f t="shared" si="15"/>
        <v>1.7191098231591671E-2</v>
      </c>
      <c r="AT128" s="12"/>
      <c r="AU128">
        <f>IF($AG128&gt;AT$21,1,0)</f>
        <v>0</v>
      </c>
      <c r="AV128">
        <f>IF($AG128&lt;AT$22,1,0)</f>
        <v>1</v>
      </c>
      <c r="AW128">
        <f t="shared" si="16"/>
        <v>0</v>
      </c>
      <c r="AX128">
        <f>IF(F129+H129&gt;0,0,1)</f>
        <v>1</v>
      </c>
      <c r="AY128">
        <f t="shared" si="17"/>
        <v>0</v>
      </c>
      <c r="AZ128" s="29">
        <f>-AY128*D128</f>
        <v>0</v>
      </c>
      <c r="BA128" s="29">
        <f>AY128*$E128</f>
        <v>0</v>
      </c>
      <c r="BB128" s="29">
        <f t="shared" si="18"/>
        <v>0</v>
      </c>
      <c r="BC128" s="30">
        <f t="shared" si="19"/>
        <v>1.0399144315200178E-2</v>
      </c>
      <c r="BE128" s="30">
        <f t="shared" si="20"/>
        <v>0</v>
      </c>
      <c r="BF128" s="30">
        <f t="shared" si="21"/>
        <v>2.7590242546791849E-2</v>
      </c>
      <c r="BH128" s="30"/>
    </row>
    <row r="129" spans="1:60" x14ac:dyDescent="0.25">
      <c r="A129" s="1">
        <v>46211</v>
      </c>
      <c r="B129" s="34">
        <v>494.79</v>
      </c>
      <c r="C129" s="34">
        <v>748250</v>
      </c>
      <c r="D129" s="16">
        <v>-1.8442837943197999E-2</v>
      </c>
      <c r="E129" s="16">
        <v>-1.03042294467247E-2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494.79</v>
      </c>
      <c r="M129" s="34">
        <v>748250</v>
      </c>
      <c r="N129" s="35">
        <v>1512.2577254997</v>
      </c>
      <c r="O129" s="35">
        <v>1499.9485700668399</v>
      </c>
      <c r="P129" s="35">
        <v>1500.3864554669799</v>
      </c>
      <c r="Q129" s="35">
        <v>1499.6115164698799</v>
      </c>
      <c r="R129" s="34">
        <v>742159.55298337503</v>
      </c>
      <c r="S129" s="34">
        <v>741627.65180936502</v>
      </c>
      <c r="T129" s="34">
        <v>741495.73101750296</v>
      </c>
      <c r="U129" s="16">
        <v>-8.1728957063751193E-3</v>
      </c>
      <c r="V129" s="16">
        <v>-8.8898464862114009E-3</v>
      </c>
      <c r="W129" s="16">
        <v>-9.0677423966092196E-3</v>
      </c>
      <c r="X129" s="35">
        <v>1512.2577254997</v>
      </c>
      <c r="Y129" s="35">
        <v>1499.9485700668399</v>
      </c>
      <c r="Z129" s="35">
        <v>1500.3864554669799</v>
      </c>
      <c r="AA129" s="35">
        <v>1499.6115164698799</v>
      </c>
      <c r="AB129" s="34">
        <v>742159.55298337503</v>
      </c>
      <c r="AC129" s="34">
        <v>741627.65180936502</v>
      </c>
      <c r="AD129" s="34">
        <v>741495.73101750296</v>
      </c>
      <c r="AE129" s="16">
        <v>-8.1728957063751193E-3</v>
      </c>
      <c r="AF129" s="16">
        <v>-8.8898464862114009E-3</v>
      </c>
      <c r="AG129" s="16">
        <v>-9.0677423966092196E-3</v>
      </c>
      <c r="AI129" s="12"/>
      <c r="AJ129">
        <f>IF($AG129&lt;AI$21,1,0)</f>
        <v>1</v>
      </c>
      <c r="AK129">
        <f>IF($AG129&gt;AI$22,1,0)</f>
        <v>0</v>
      </c>
      <c r="AL129">
        <f t="shared" si="12"/>
        <v>0</v>
      </c>
      <c r="AM129">
        <f>IF(F130+H130&gt;0,0,1)</f>
        <v>1</v>
      </c>
      <c r="AN129">
        <f t="shared" si="13"/>
        <v>0</v>
      </c>
      <c r="AO129" s="29">
        <f>AN129*D129</f>
        <v>0</v>
      </c>
      <c r="AP129" s="29">
        <f>-AN129*$E129</f>
        <v>0</v>
      </c>
      <c r="AQ129" s="29">
        <f t="shared" si="14"/>
        <v>0</v>
      </c>
      <c r="AR129" s="30">
        <f t="shared" si="15"/>
        <v>1.7191098231591671E-2</v>
      </c>
      <c r="AT129" s="12"/>
      <c r="AU129">
        <f>IF($AG129&gt;AT$21,1,0)</f>
        <v>0</v>
      </c>
      <c r="AV129">
        <f>IF($AG129&lt;AT$22,1,0)</f>
        <v>1</v>
      </c>
      <c r="AW129">
        <f t="shared" si="16"/>
        <v>0</v>
      </c>
      <c r="AX129">
        <f>IF(F130+H130&gt;0,0,1)</f>
        <v>1</v>
      </c>
      <c r="AY129">
        <f t="shared" si="17"/>
        <v>0</v>
      </c>
      <c r="AZ129" s="29">
        <f>-AY129*D129</f>
        <v>0</v>
      </c>
      <c r="BA129" s="29">
        <f>AY129*$E129</f>
        <v>0</v>
      </c>
      <c r="BB129" s="29">
        <f t="shared" si="18"/>
        <v>0</v>
      </c>
      <c r="BC129" s="30">
        <f t="shared" si="19"/>
        <v>1.0399144315200178E-2</v>
      </c>
      <c r="BE129" s="30">
        <f t="shared" si="20"/>
        <v>0</v>
      </c>
      <c r="BF129" s="30">
        <f t="shared" si="21"/>
        <v>2.7590242546791849E-2</v>
      </c>
      <c r="BH129" s="30"/>
    </row>
    <row r="130" spans="1:60" x14ac:dyDescent="0.25">
      <c r="A130" s="1">
        <v>46212</v>
      </c>
      <c r="B130" s="34">
        <v>495.45</v>
      </c>
      <c r="C130" s="34">
        <v>741030.06</v>
      </c>
      <c r="D130" s="16">
        <v>1.3330103767377199E-3</v>
      </c>
      <c r="E130" s="16">
        <v>-9.6959554579123496E-3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495.45</v>
      </c>
      <c r="M130" s="34">
        <v>741030.06</v>
      </c>
      <c r="N130" s="35">
        <v>1495.67072358462</v>
      </c>
      <c r="O130" s="35">
        <v>1499.9485700668399</v>
      </c>
      <c r="P130" s="35">
        <v>1499.81509084963</v>
      </c>
      <c r="Q130" s="35">
        <v>1499.5788482905</v>
      </c>
      <c r="R130" s="34">
        <v>743149.51903961902</v>
      </c>
      <c r="S130" s="34">
        <v>743366.46936111595</v>
      </c>
      <c r="T130" s="34">
        <v>742982.52583500498</v>
      </c>
      <c r="U130" s="16">
        <v>2.8560701282750599E-3</v>
      </c>
      <c r="V130" s="16">
        <v>3.1479611334578501E-3</v>
      </c>
      <c r="W130" s="16">
        <v>2.63133477465391E-3</v>
      </c>
      <c r="X130" s="35">
        <v>1495.67072358462</v>
      </c>
      <c r="Y130" s="35">
        <v>1499.9485700668399</v>
      </c>
      <c r="Z130" s="35">
        <v>1499.81509084963</v>
      </c>
      <c r="AA130" s="35">
        <v>1499.5788482905</v>
      </c>
      <c r="AB130" s="34">
        <v>743149.51903961902</v>
      </c>
      <c r="AC130" s="34">
        <v>743366.46936111595</v>
      </c>
      <c r="AD130" s="34">
        <v>742982.52583500498</v>
      </c>
      <c r="AE130" s="16">
        <v>2.8560701282750599E-3</v>
      </c>
      <c r="AF130" s="16">
        <v>3.1479611334578501E-3</v>
      </c>
      <c r="AG130" s="16">
        <v>2.63133477465391E-3</v>
      </c>
      <c r="AI130" s="12"/>
      <c r="AJ130">
        <f>IF($AG130&lt;AI$21,1,0)</f>
        <v>0</v>
      </c>
      <c r="AK130">
        <f>IF($AG130&gt;AI$22,1,0)</f>
        <v>1</v>
      </c>
      <c r="AL130">
        <f t="shared" si="12"/>
        <v>1</v>
      </c>
      <c r="AM130">
        <f>IF(F131+H131&gt;0,0,1)</f>
        <v>1</v>
      </c>
      <c r="AN130">
        <f t="shared" si="13"/>
        <v>1</v>
      </c>
      <c r="AO130" s="29">
        <f>AN130*D130</f>
        <v>1.3330103767377199E-3</v>
      </c>
      <c r="AP130" s="29">
        <f>-AN130*$E130</f>
        <v>9.6959554579123496E-3</v>
      </c>
      <c r="AQ130" s="29">
        <f t="shared" si="14"/>
        <v>1.1028965834650069E-2</v>
      </c>
      <c r="AR130" s="30">
        <f t="shared" si="15"/>
        <v>2.8220064066241741E-2</v>
      </c>
      <c r="AT130" s="12"/>
      <c r="AU130">
        <f>IF($AG130&gt;AT$21,1,0)</f>
        <v>0</v>
      </c>
      <c r="AV130">
        <f>IF($AG130&lt;AT$22,1,0)</f>
        <v>0</v>
      </c>
      <c r="AW130">
        <f t="shared" si="16"/>
        <v>0</v>
      </c>
      <c r="AX130">
        <f>IF(F131+H131&gt;0,0,1)</f>
        <v>1</v>
      </c>
      <c r="AY130">
        <f t="shared" si="17"/>
        <v>0</v>
      </c>
      <c r="AZ130" s="29">
        <f>-AY130*D130</f>
        <v>0</v>
      </c>
      <c r="BA130" s="29">
        <f>AY130*$E130</f>
        <v>0</v>
      </c>
      <c r="BB130" s="29">
        <f t="shared" si="18"/>
        <v>0</v>
      </c>
      <c r="BC130" s="30">
        <f t="shared" si="19"/>
        <v>1.0399144315200178E-2</v>
      </c>
      <c r="BE130" s="30">
        <f t="shared" si="20"/>
        <v>1.1028965834650069E-2</v>
      </c>
      <c r="BF130" s="30">
        <f t="shared" si="21"/>
        <v>3.8619208381441922E-2</v>
      </c>
      <c r="BH130" s="30"/>
    </row>
    <row r="131" spans="1:60" x14ac:dyDescent="0.25">
      <c r="A131" s="1">
        <v>46213</v>
      </c>
      <c r="B131" s="34">
        <v>493.71</v>
      </c>
      <c r="C131" s="34">
        <v>739750</v>
      </c>
      <c r="D131" s="16">
        <v>-3.5181402295071901E-3</v>
      </c>
      <c r="E131" s="16">
        <v>-1.7288999945768899E-3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493.71</v>
      </c>
      <c r="M131" s="34">
        <v>739750</v>
      </c>
      <c r="N131" s="35">
        <v>1498.3492333556101</v>
      </c>
      <c r="O131" s="35">
        <v>1499.9485700668399</v>
      </c>
      <c r="P131" s="35">
        <v>1499.3045928121201</v>
      </c>
      <c r="Q131" s="35">
        <v>1499.3433162434301</v>
      </c>
      <c r="R131" s="34">
        <v>740539.60852770205</v>
      </c>
      <c r="S131" s="34">
        <v>740473.70850337297</v>
      </c>
      <c r="T131" s="34">
        <v>740357.07318950596</v>
      </c>
      <c r="U131" s="16">
        <v>1.0668298933446099E-3</v>
      </c>
      <c r="V131" s="16">
        <v>9.7783673762457507E-4</v>
      </c>
      <c r="W131" s="16">
        <v>8.2030987425790898E-4</v>
      </c>
      <c r="X131" s="35">
        <v>1498.3492333556101</v>
      </c>
      <c r="Y131" s="35">
        <v>1499.9485700668399</v>
      </c>
      <c r="Z131" s="35">
        <v>1499.3045928121201</v>
      </c>
      <c r="AA131" s="35">
        <v>1499.3433162434301</v>
      </c>
      <c r="AB131" s="34">
        <v>740539.60852770205</v>
      </c>
      <c r="AC131" s="34">
        <v>740473.70850337297</v>
      </c>
      <c r="AD131" s="34">
        <v>740357.07318950596</v>
      </c>
      <c r="AE131" s="16">
        <v>1.0668298933446099E-3</v>
      </c>
      <c r="AF131" s="16">
        <v>9.7783673762457507E-4</v>
      </c>
      <c r="AG131" s="16">
        <v>8.2030987425790898E-4</v>
      </c>
      <c r="AI131" s="12"/>
      <c r="AJ131">
        <f>IF($AG131&lt;AI$21,1,0)</f>
        <v>0</v>
      </c>
      <c r="AK131">
        <f>IF($AG131&gt;AI$22,1,0)</f>
        <v>1</v>
      </c>
      <c r="AL131">
        <f t="shared" si="12"/>
        <v>0</v>
      </c>
      <c r="AM131">
        <f>IF(F132+H132&gt;0,0,1)</f>
        <v>1</v>
      </c>
      <c r="AN131">
        <f t="shared" si="13"/>
        <v>0</v>
      </c>
      <c r="AO131" s="29">
        <f>AN131*D131</f>
        <v>0</v>
      </c>
      <c r="AP131" s="29">
        <f>-AN131*$E131</f>
        <v>0</v>
      </c>
      <c r="AQ131" s="29">
        <f t="shared" si="14"/>
        <v>0</v>
      </c>
      <c r="AR131" s="30">
        <f t="shared" si="15"/>
        <v>2.8220064066241741E-2</v>
      </c>
      <c r="AT131" s="12"/>
      <c r="AU131">
        <f>IF($AG131&gt;AT$21,1,0)</f>
        <v>0</v>
      </c>
      <c r="AV131">
        <f>IF($AG131&lt;AT$22,1,0)</f>
        <v>1</v>
      </c>
      <c r="AW131">
        <f t="shared" si="16"/>
        <v>0</v>
      </c>
      <c r="AX131">
        <f>IF(F132+H132&gt;0,0,1)</f>
        <v>1</v>
      </c>
      <c r="AY131">
        <f t="shared" si="17"/>
        <v>0</v>
      </c>
      <c r="AZ131" s="29">
        <f>-AY131*D131</f>
        <v>0</v>
      </c>
      <c r="BA131" s="29">
        <f>AY131*$E131</f>
        <v>0</v>
      </c>
      <c r="BB131" s="29">
        <f t="shared" si="18"/>
        <v>0</v>
      </c>
      <c r="BC131" s="30">
        <f t="shared" si="19"/>
        <v>1.0399144315200178E-2</v>
      </c>
      <c r="BE131" s="30">
        <f t="shared" si="20"/>
        <v>0</v>
      </c>
      <c r="BF131" s="30">
        <f t="shared" si="21"/>
        <v>3.8619208381441922E-2</v>
      </c>
      <c r="BH131" s="30"/>
    </row>
    <row r="132" spans="1:60" x14ac:dyDescent="0.25">
      <c r="A132" s="1">
        <v>46216</v>
      </c>
      <c r="B132" s="34">
        <v>496.85</v>
      </c>
      <c r="C132" s="34">
        <v>744850</v>
      </c>
      <c r="D132" s="16">
        <v>6.33986940197135E-3</v>
      </c>
      <c r="E132" s="16">
        <v>6.8705645452829403E-3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496.85</v>
      </c>
      <c r="M132" s="34">
        <v>744850</v>
      </c>
      <c r="N132" s="35">
        <v>1499.1446110496099</v>
      </c>
      <c r="O132" s="35">
        <v>1499.9485700668399</v>
      </c>
      <c r="P132" s="35">
        <v>1499.79058562205</v>
      </c>
      <c r="Q132" s="35">
        <v>1499.51710127418</v>
      </c>
      <c r="R132" s="34">
        <v>745249.44703771197</v>
      </c>
      <c r="S132" s="34">
        <v>744929.48693870194</v>
      </c>
      <c r="T132" s="34">
        <v>744948.72667554999</v>
      </c>
      <c r="U132" s="16">
        <v>5.3613475003293296E-4</v>
      </c>
      <c r="V132" s="16">
        <v>1.06709670088128E-4</v>
      </c>
      <c r="W132" s="16">
        <v>1.3253693123461001E-4</v>
      </c>
      <c r="X132" s="35">
        <v>1499.1446110496099</v>
      </c>
      <c r="Y132" s="35">
        <v>1499.9485700668399</v>
      </c>
      <c r="Z132" s="35">
        <v>1499.79058562205</v>
      </c>
      <c r="AA132" s="35">
        <v>1499.51710127418</v>
      </c>
      <c r="AB132" s="34">
        <v>745249.44703771197</v>
      </c>
      <c r="AC132" s="34">
        <v>744929.48693870194</v>
      </c>
      <c r="AD132" s="34">
        <v>744948.72667554999</v>
      </c>
      <c r="AE132" s="16">
        <v>5.3613475003293296E-4</v>
      </c>
      <c r="AF132" s="16">
        <v>1.06709670088128E-4</v>
      </c>
      <c r="AG132" s="16">
        <v>1.3253693123461001E-4</v>
      </c>
      <c r="AI132" s="12"/>
      <c r="AJ132">
        <f>IF($AG132&lt;AI$21,1,0)</f>
        <v>0</v>
      </c>
      <c r="AK132">
        <f>IF($AG132&gt;AI$22,1,0)</f>
        <v>1</v>
      </c>
      <c r="AL132">
        <f t="shared" si="12"/>
        <v>0</v>
      </c>
      <c r="AM132">
        <f>IF(F133+H133&gt;0,0,1)</f>
        <v>1</v>
      </c>
      <c r="AN132">
        <f t="shared" si="13"/>
        <v>0</v>
      </c>
      <c r="AO132" s="29">
        <f>AN132*D132</f>
        <v>0</v>
      </c>
      <c r="AP132" s="29">
        <f>-AN132*$E132</f>
        <v>0</v>
      </c>
      <c r="AQ132" s="29">
        <f t="shared" si="14"/>
        <v>0</v>
      </c>
      <c r="AR132" s="30">
        <f t="shared" si="15"/>
        <v>2.8220064066241741E-2</v>
      </c>
      <c r="AT132" s="12"/>
      <c r="AU132">
        <f>IF($AG132&gt;AT$21,1,0)</f>
        <v>0</v>
      </c>
      <c r="AV132">
        <f>IF($AG132&lt;AT$22,1,0)</f>
        <v>1</v>
      </c>
      <c r="AW132">
        <f t="shared" si="16"/>
        <v>0</v>
      </c>
      <c r="AX132">
        <f>IF(F133+H133&gt;0,0,1)</f>
        <v>1</v>
      </c>
      <c r="AY132">
        <f t="shared" si="17"/>
        <v>0</v>
      </c>
      <c r="AZ132" s="29">
        <f>-AY132*D132</f>
        <v>0</v>
      </c>
      <c r="BA132" s="29">
        <f>AY132*$E132</f>
        <v>0</v>
      </c>
      <c r="BB132" s="29">
        <f t="shared" si="18"/>
        <v>0</v>
      </c>
      <c r="BC132" s="30">
        <f t="shared" si="19"/>
        <v>1.0399144315200178E-2</v>
      </c>
      <c r="BE132" s="30">
        <f t="shared" si="20"/>
        <v>0</v>
      </c>
      <c r="BF132" s="30">
        <f t="shared" si="21"/>
        <v>3.8619208381441922E-2</v>
      </c>
      <c r="BH132" s="30"/>
    </row>
    <row r="133" spans="1:60" x14ac:dyDescent="0.25">
      <c r="A133" s="1">
        <v>46217</v>
      </c>
      <c r="B133" s="34">
        <v>491.09</v>
      </c>
      <c r="C133" s="34">
        <v>737000</v>
      </c>
      <c r="D133" s="16">
        <v>-1.16607592911302E-2</v>
      </c>
      <c r="E133" s="16">
        <v>-1.05949636362653E-2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491.09</v>
      </c>
      <c r="M133" s="34">
        <v>737000</v>
      </c>
      <c r="N133" s="35">
        <v>1500.7432446191101</v>
      </c>
      <c r="O133" s="35">
        <v>1499.9485700668399</v>
      </c>
      <c r="P133" s="35">
        <v>1499.9637004065401</v>
      </c>
      <c r="Q133" s="35">
        <v>1499.73566360734</v>
      </c>
      <c r="R133" s="34">
        <v>736609.74327412702</v>
      </c>
      <c r="S133" s="34">
        <v>736532.15869313304</v>
      </c>
      <c r="T133" s="34">
        <v>736397.85326473997</v>
      </c>
      <c r="U133" s="16">
        <v>-5.2966090483191604E-4</v>
      </c>
      <c r="V133" s="16">
        <v>-6.3499302655428398E-4</v>
      </c>
      <c r="W133" s="16">
        <v>-8.1735801019136697E-4</v>
      </c>
      <c r="X133" s="35">
        <v>1500.7432446191101</v>
      </c>
      <c r="Y133" s="35">
        <v>1499.9485700668399</v>
      </c>
      <c r="Z133" s="35">
        <v>1499.9637004065401</v>
      </c>
      <c r="AA133" s="35">
        <v>1499.73566360734</v>
      </c>
      <c r="AB133" s="34">
        <v>736609.74327412702</v>
      </c>
      <c r="AC133" s="34">
        <v>736532.15869313304</v>
      </c>
      <c r="AD133" s="34">
        <v>736397.85326473997</v>
      </c>
      <c r="AE133" s="16">
        <v>-5.2966090483191604E-4</v>
      </c>
      <c r="AF133" s="16">
        <v>-6.3499302655428398E-4</v>
      </c>
      <c r="AG133" s="16">
        <v>-8.1735801019136697E-4</v>
      </c>
      <c r="AI133" s="12"/>
      <c r="AJ133">
        <f>IF($AG133&lt;AI$21,1,0)</f>
        <v>0</v>
      </c>
      <c r="AK133">
        <f>IF($AG133&gt;AI$22,1,0)</f>
        <v>1</v>
      </c>
      <c r="AL133">
        <f t="shared" si="12"/>
        <v>0</v>
      </c>
      <c r="AM133">
        <f>IF(F134+H134&gt;0,0,1)</f>
        <v>1</v>
      </c>
      <c r="AN133">
        <f t="shared" si="13"/>
        <v>0</v>
      </c>
      <c r="AO133" s="29">
        <f>AN133*D133</f>
        <v>0</v>
      </c>
      <c r="AP133" s="29">
        <f>-AN133*$E133</f>
        <v>0</v>
      </c>
      <c r="AQ133" s="29">
        <f t="shared" si="14"/>
        <v>0</v>
      </c>
      <c r="AR133" s="30">
        <f t="shared" si="15"/>
        <v>2.8220064066241741E-2</v>
      </c>
      <c r="AT133" s="12"/>
      <c r="AU133">
        <f>IF($AG133&gt;AT$21,1,0)</f>
        <v>0</v>
      </c>
      <c r="AV133">
        <f>IF($AG133&lt;AT$22,1,0)</f>
        <v>1</v>
      </c>
      <c r="AW133">
        <f t="shared" si="16"/>
        <v>0</v>
      </c>
      <c r="AX133">
        <f>IF(F134+H134&gt;0,0,1)</f>
        <v>1</v>
      </c>
      <c r="AY133">
        <f t="shared" si="17"/>
        <v>0</v>
      </c>
      <c r="AZ133" s="29">
        <f>-AY133*D133</f>
        <v>0</v>
      </c>
      <c r="BA133" s="29">
        <f>AY133*$E133</f>
        <v>0</v>
      </c>
      <c r="BB133" s="29">
        <f t="shared" si="18"/>
        <v>0</v>
      </c>
      <c r="BC133" s="30">
        <f t="shared" si="19"/>
        <v>1.0399144315200178E-2</v>
      </c>
      <c r="BE133" s="30">
        <f t="shared" si="20"/>
        <v>0</v>
      </c>
      <c r="BF133" s="30">
        <f t="shared" si="21"/>
        <v>3.8619208381441922E-2</v>
      </c>
      <c r="BH133" s="30"/>
    </row>
    <row r="134" spans="1:60" x14ac:dyDescent="0.25">
      <c r="A134" s="1">
        <v>46218</v>
      </c>
      <c r="B134" s="34">
        <v>488.35</v>
      </c>
      <c r="C134" s="34">
        <v>733180</v>
      </c>
      <c r="D134" s="16">
        <v>-5.5950484927560096E-3</v>
      </c>
      <c r="E134" s="16">
        <v>-5.1966542826816604E-3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488.35</v>
      </c>
      <c r="M134" s="34">
        <v>733180</v>
      </c>
      <c r="N134" s="35">
        <v>1501.34125115183</v>
      </c>
      <c r="O134" s="35">
        <v>1499.9485700668399</v>
      </c>
      <c r="P134" s="35">
        <v>1500.44455507267</v>
      </c>
      <c r="Q134" s="35">
        <v>1499.9272418252399</v>
      </c>
      <c r="R134" s="34">
        <v>732499.88419214403</v>
      </c>
      <c r="S134" s="34">
        <v>732507.27309353498</v>
      </c>
      <c r="T134" s="34">
        <v>732395.91132264503</v>
      </c>
      <c r="U134" s="16">
        <v>-9.2805511490630399E-4</v>
      </c>
      <c r="V134" s="16">
        <v>-9.1796792679356995E-4</v>
      </c>
      <c r="W134" s="16">
        <v>-1.07000769609678E-3</v>
      </c>
      <c r="X134" s="35">
        <v>1501.34125115183</v>
      </c>
      <c r="Y134" s="35">
        <v>1499.9485700668399</v>
      </c>
      <c r="Z134" s="35">
        <v>1500.44455507267</v>
      </c>
      <c r="AA134" s="35">
        <v>1499.9272418252399</v>
      </c>
      <c r="AB134" s="34">
        <v>732499.88419214403</v>
      </c>
      <c r="AC134" s="34">
        <v>732507.27309353498</v>
      </c>
      <c r="AD134" s="34">
        <v>732395.91132264503</v>
      </c>
      <c r="AE134" s="16">
        <v>-9.2805511490630399E-4</v>
      </c>
      <c r="AF134" s="16">
        <v>-9.1796792679356995E-4</v>
      </c>
      <c r="AG134" s="16">
        <v>-1.07000769609678E-3</v>
      </c>
      <c r="AI134" s="12"/>
      <c r="AJ134">
        <f>IF($AG134&lt;AI$21,1,0)</f>
        <v>0</v>
      </c>
      <c r="AK134">
        <f>IF($AG134&gt;AI$22,1,0)</f>
        <v>0</v>
      </c>
      <c r="AL134">
        <f t="shared" si="12"/>
        <v>0</v>
      </c>
      <c r="AM134">
        <f>IF(F135+H135&gt;0,0,1)</f>
        <v>1</v>
      </c>
      <c r="AN134">
        <f t="shared" si="13"/>
        <v>0</v>
      </c>
      <c r="AO134" s="29">
        <f>AN134*D134</f>
        <v>0</v>
      </c>
      <c r="AP134" s="29">
        <f>-AN134*$E134</f>
        <v>0</v>
      </c>
      <c r="AQ134" s="29">
        <f t="shared" si="14"/>
        <v>0</v>
      </c>
      <c r="AR134" s="30">
        <f t="shared" si="15"/>
        <v>2.8220064066241741E-2</v>
      </c>
      <c r="AT134" s="12"/>
      <c r="AU134">
        <f>IF($AG134&gt;AT$21,1,0)</f>
        <v>0</v>
      </c>
      <c r="AV134">
        <f>IF($AG134&lt;AT$22,1,0)</f>
        <v>1</v>
      </c>
      <c r="AW134">
        <f t="shared" si="16"/>
        <v>0</v>
      </c>
      <c r="AX134">
        <f>IF(F135+H135&gt;0,0,1)</f>
        <v>1</v>
      </c>
      <c r="AY134">
        <f t="shared" si="17"/>
        <v>0</v>
      </c>
      <c r="AZ134" s="29">
        <f>-AY134*D134</f>
        <v>0</v>
      </c>
      <c r="BA134" s="29">
        <f>AY134*$E134</f>
        <v>0</v>
      </c>
      <c r="BB134" s="29">
        <f t="shared" si="18"/>
        <v>0</v>
      </c>
      <c r="BC134" s="30">
        <f t="shared" si="19"/>
        <v>1.0399144315200178E-2</v>
      </c>
      <c r="BE134" s="30">
        <f t="shared" si="20"/>
        <v>0</v>
      </c>
      <c r="BF134" s="30">
        <f t="shared" si="21"/>
        <v>3.8619208381441922E-2</v>
      </c>
      <c r="BH134" s="30"/>
    </row>
    <row r="135" spans="1:60" x14ac:dyDescent="0.25">
      <c r="A135" s="1">
        <v>46219</v>
      </c>
      <c r="B135" s="34">
        <v>493.12</v>
      </c>
      <c r="C135" s="34">
        <v>738500</v>
      </c>
      <c r="D135" s="16">
        <v>9.7201902382648402E-3</v>
      </c>
      <c r="E135" s="16">
        <v>7.2298640647795401E-3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493.12</v>
      </c>
      <c r="M135" s="34">
        <v>738500</v>
      </c>
      <c r="N135" s="35">
        <v>1497.6070733290001</v>
      </c>
      <c r="O135" s="35">
        <v>1499.9485700668399</v>
      </c>
      <c r="P135" s="35">
        <v>1499.9271177703599</v>
      </c>
      <c r="Q135" s="35">
        <v>1499.81153528359</v>
      </c>
      <c r="R135" s="34">
        <v>739654.63887136301</v>
      </c>
      <c r="S135" s="34">
        <v>739899.21899743797</v>
      </c>
      <c r="T135" s="34">
        <v>739644.12148886605</v>
      </c>
      <c r="U135" s="16">
        <v>1.5622710585789399E-3</v>
      </c>
      <c r="V135" s="16">
        <v>1.8928844080050001E-3</v>
      </c>
      <c r="W135" s="16">
        <v>1.54805164221965E-3</v>
      </c>
      <c r="X135" s="35">
        <v>1497.6070733290001</v>
      </c>
      <c r="Y135" s="35">
        <v>1499.9485700668399</v>
      </c>
      <c r="Z135" s="35">
        <v>1499.9271177703599</v>
      </c>
      <c r="AA135" s="35">
        <v>1499.81153528359</v>
      </c>
      <c r="AB135" s="34">
        <v>739654.63887136301</v>
      </c>
      <c r="AC135" s="34">
        <v>739899.21899743797</v>
      </c>
      <c r="AD135" s="34">
        <v>739644.12148886605</v>
      </c>
      <c r="AE135" s="16">
        <v>1.5622710585789399E-3</v>
      </c>
      <c r="AF135" s="16">
        <v>1.8928844080050001E-3</v>
      </c>
      <c r="AG135" s="16">
        <v>1.54805164221965E-3</v>
      </c>
      <c r="AI135" s="12"/>
      <c r="AJ135">
        <f>IF($AG135&lt;AI$21,1,0)</f>
        <v>0</v>
      </c>
      <c r="AK135">
        <f>IF($AG135&gt;AI$22,1,0)</f>
        <v>1</v>
      </c>
      <c r="AL135">
        <f t="shared" si="12"/>
        <v>0</v>
      </c>
      <c r="AM135">
        <f>IF(F136+H136&gt;0,0,1)</f>
        <v>1</v>
      </c>
      <c r="AN135">
        <f t="shared" si="13"/>
        <v>0</v>
      </c>
      <c r="AO135" s="29">
        <f>AN135*D135</f>
        <v>0</v>
      </c>
      <c r="AP135" s="29">
        <f>-AN135*$E135</f>
        <v>0</v>
      </c>
      <c r="AQ135" s="29">
        <f t="shared" si="14"/>
        <v>0</v>
      </c>
      <c r="AR135" s="30">
        <f t="shared" si="15"/>
        <v>2.8220064066241741E-2</v>
      </c>
      <c r="AT135" s="12"/>
      <c r="AU135">
        <f>IF($AG135&gt;AT$21,1,0)</f>
        <v>0</v>
      </c>
      <c r="AV135">
        <f>IF($AG135&lt;AT$22,1,0)</f>
        <v>0</v>
      </c>
      <c r="AW135">
        <f t="shared" si="16"/>
        <v>0</v>
      </c>
      <c r="AX135">
        <f>IF(F136+H136&gt;0,0,1)</f>
        <v>1</v>
      </c>
      <c r="AY135">
        <f t="shared" si="17"/>
        <v>0</v>
      </c>
      <c r="AZ135" s="29">
        <f>-AY135*D135</f>
        <v>0</v>
      </c>
      <c r="BA135" s="29">
        <f>AY135*$E135</f>
        <v>0</v>
      </c>
      <c r="BB135" s="29">
        <f t="shared" si="18"/>
        <v>0</v>
      </c>
      <c r="BC135" s="30">
        <f t="shared" si="19"/>
        <v>1.0399144315200178E-2</v>
      </c>
      <c r="BE135" s="30">
        <f t="shared" si="20"/>
        <v>0</v>
      </c>
      <c r="BF135" s="30">
        <f t="shared" si="21"/>
        <v>3.8619208381441922E-2</v>
      </c>
      <c r="BH135" s="30"/>
    </row>
    <row r="136" spans="1:60" x14ac:dyDescent="0.25">
      <c r="A136" s="1">
        <v>46220</v>
      </c>
      <c r="B136" s="34">
        <v>490.91</v>
      </c>
      <c r="C136" s="34">
        <v>736000</v>
      </c>
      <c r="D136" s="16">
        <v>-4.4917405276185497E-3</v>
      </c>
      <c r="E136" s="16">
        <v>-3.3909832425582502E-3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490.91</v>
      </c>
      <c r="M136" s="34">
        <v>736000</v>
      </c>
      <c r="N136" s="35">
        <v>1499.25648285836</v>
      </c>
      <c r="O136" s="35">
        <v>1499.9485700668399</v>
      </c>
      <c r="P136" s="35">
        <v>1499.8704902674699</v>
      </c>
      <c r="Q136" s="35">
        <v>1499.73568494353</v>
      </c>
      <c r="R136" s="34">
        <v>736339.75253151497</v>
      </c>
      <c r="S136" s="34">
        <v>736329.22138465103</v>
      </c>
      <c r="T136" s="34">
        <v>736272.48078607104</v>
      </c>
      <c r="U136" s="16">
        <v>4.6151377351868399E-4</v>
      </c>
      <c r="V136" s="16">
        <v>4.4721164989003798E-4</v>
      </c>
      <c r="W136" s="16">
        <v>3.7014994539146E-4</v>
      </c>
      <c r="X136" s="35">
        <v>1499.25648285836</v>
      </c>
      <c r="Y136" s="35">
        <v>1499.9485700668399</v>
      </c>
      <c r="Z136" s="35">
        <v>1499.8704902674699</v>
      </c>
      <c r="AA136" s="35">
        <v>1499.73568494353</v>
      </c>
      <c r="AB136" s="34">
        <v>736339.75253151497</v>
      </c>
      <c r="AC136" s="34">
        <v>736329.22138465103</v>
      </c>
      <c r="AD136" s="34">
        <v>736272.48078607104</v>
      </c>
      <c r="AE136" s="16">
        <v>4.6151377351868399E-4</v>
      </c>
      <c r="AF136" s="16">
        <v>4.4721164989003798E-4</v>
      </c>
      <c r="AG136" s="16">
        <v>3.7014994539146E-4</v>
      </c>
      <c r="AI136" s="12"/>
      <c r="AJ136">
        <f>IF($AG136&lt;AI$21,1,0)</f>
        <v>0</v>
      </c>
      <c r="AK136">
        <f>IF($AG136&gt;AI$22,1,0)</f>
        <v>1</v>
      </c>
      <c r="AL136">
        <f t="shared" si="12"/>
        <v>0</v>
      </c>
      <c r="AM136">
        <f>IF(F137+H137&gt;0,0,1)</f>
        <v>1</v>
      </c>
      <c r="AN136">
        <f t="shared" si="13"/>
        <v>0</v>
      </c>
      <c r="AO136" s="29">
        <f>AN136*D136</f>
        <v>0</v>
      </c>
      <c r="AP136" s="29">
        <f>-AN136*$E136</f>
        <v>0</v>
      </c>
      <c r="AQ136" s="29">
        <f t="shared" si="14"/>
        <v>0</v>
      </c>
      <c r="AR136" s="30">
        <f t="shared" si="15"/>
        <v>2.8220064066241741E-2</v>
      </c>
      <c r="AT136" s="12"/>
      <c r="AU136">
        <f>IF($AG136&gt;AT$21,1,0)</f>
        <v>0</v>
      </c>
      <c r="AV136">
        <f>IF($AG136&lt;AT$22,1,0)</f>
        <v>1</v>
      </c>
      <c r="AW136">
        <f t="shared" si="16"/>
        <v>0</v>
      </c>
      <c r="AX136">
        <f>IF(F137+H137&gt;0,0,1)</f>
        <v>1</v>
      </c>
      <c r="AY136">
        <f t="shared" si="17"/>
        <v>0</v>
      </c>
      <c r="AZ136" s="29">
        <f>-AY136*D136</f>
        <v>0</v>
      </c>
      <c r="BA136" s="29">
        <f>AY136*$E136</f>
        <v>0</v>
      </c>
      <c r="BB136" s="29">
        <f t="shared" si="18"/>
        <v>0</v>
      </c>
      <c r="BC136" s="30">
        <f t="shared" si="19"/>
        <v>1.0399144315200178E-2</v>
      </c>
      <c r="BE136" s="30">
        <f t="shared" si="20"/>
        <v>0</v>
      </c>
      <c r="BF136" s="30">
        <f t="shared" si="21"/>
        <v>3.8619208381441922E-2</v>
      </c>
      <c r="BH136" s="30"/>
    </row>
    <row r="137" spans="1:60" x14ac:dyDescent="0.25">
      <c r="A137" s="1">
        <v>46223</v>
      </c>
      <c r="B137" s="34">
        <v>491.25</v>
      </c>
      <c r="C137" s="34">
        <v>736200</v>
      </c>
      <c r="D137" s="16">
        <v>6.9235157933849201E-4</v>
      </c>
      <c r="E137" s="16">
        <v>2.7170221604450002E-4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491.25</v>
      </c>
      <c r="M137" s="34">
        <v>736200</v>
      </c>
      <c r="N137" s="35">
        <v>1498.62595419847</v>
      </c>
      <c r="O137" s="35">
        <v>1499.9485700668399</v>
      </c>
      <c r="P137" s="35">
        <v>1500.29962996463</v>
      </c>
      <c r="Q137" s="35">
        <v>1499.72625716005</v>
      </c>
      <c r="R137" s="34">
        <v>736849.73504533805</v>
      </c>
      <c r="S137" s="34">
        <v>736811.37834389799</v>
      </c>
      <c r="T137" s="34">
        <v>736745.15522851003</v>
      </c>
      <c r="U137" s="16">
        <v>8.8216313681277697E-4</v>
      </c>
      <c r="V137" s="16">
        <v>8.3010679753574496E-4</v>
      </c>
      <c r="W137" s="16">
        <v>7.4022478225740495E-4</v>
      </c>
      <c r="X137" s="35">
        <v>1498.62595419847</v>
      </c>
      <c r="Y137" s="35">
        <v>1499.9485700668399</v>
      </c>
      <c r="Z137" s="35">
        <v>1500.29962996463</v>
      </c>
      <c r="AA137" s="35">
        <v>1499.72625716005</v>
      </c>
      <c r="AB137" s="34">
        <v>736849.73504533805</v>
      </c>
      <c r="AC137" s="34">
        <v>736811.37834389799</v>
      </c>
      <c r="AD137" s="34">
        <v>736745.15522851003</v>
      </c>
      <c r="AE137" s="16">
        <v>8.8216313681277697E-4</v>
      </c>
      <c r="AF137" s="16">
        <v>8.3010679753574496E-4</v>
      </c>
      <c r="AG137" s="16">
        <v>7.4022478225740495E-4</v>
      </c>
      <c r="AI137" s="12"/>
      <c r="AJ137">
        <f>IF($AG137&lt;AI$21,1,0)</f>
        <v>0</v>
      </c>
      <c r="AK137">
        <f>IF($AG137&gt;AI$22,1,0)</f>
        <v>1</v>
      </c>
      <c r="AL137">
        <f t="shared" si="12"/>
        <v>0</v>
      </c>
      <c r="AM137">
        <f>IF(F138+H138&gt;0,0,1)</f>
        <v>1</v>
      </c>
      <c r="AN137">
        <f t="shared" si="13"/>
        <v>0</v>
      </c>
      <c r="AO137" s="29">
        <f>AN137*D137</f>
        <v>0</v>
      </c>
      <c r="AP137" s="29">
        <f>-AN137*$E137</f>
        <v>0</v>
      </c>
      <c r="AQ137" s="29">
        <f t="shared" si="14"/>
        <v>0</v>
      </c>
      <c r="AR137" s="30">
        <f t="shared" si="15"/>
        <v>2.8220064066241741E-2</v>
      </c>
      <c r="AT137" s="12"/>
      <c r="AU137">
        <f>IF($AG137&gt;AT$21,1,0)</f>
        <v>0</v>
      </c>
      <c r="AV137">
        <f>IF($AG137&lt;AT$22,1,0)</f>
        <v>1</v>
      </c>
      <c r="AW137">
        <f t="shared" si="16"/>
        <v>0</v>
      </c>
      <c r="AX137">
        <f>IF(F138+H138&gt;0,0,1)</f>
        <v>1</v>
      </c>
      <c r="AY137">
        <f t="shared" si="17"/>
        <v>0</v>
      </c>
      <c r="AZ137" s="29">
        <f>-AY137*D137</f>
        <v>0</v>
      </c>
      <c r="BA137" s="29">
        <f>AY137*$E137</f>
        <v>0</v>
      </c>
      <c r="BB137" s="29">
        <f t="shared" si="18"/>
        <v>0</v>
      </c>
      <c r="BC137" s="30">
        <f t="shared" si="19"/>
        <v>1.0399144315200178E-2</v>
      </c>
      <c r="BE137" s="30">
        <f t="shared" si="20"/>
        <v>0</v>
      </c>
      <c r="BF137" s="30">
        <f t="shared" si="21"/>
        <v>3.8619208381441922E-2</v>
      </c>
      <c r="BH137" s="30"/>
    </row>
    <row r="138" spans="1:60" x14ac:dyDescent="0.25">
      <c r="A138" s="1">
        <v>46224</v>
      </c>
      <c r="B138" s="34">
        <v>489.65</v>
      </c>
      <c r="C138" s="34">
        <v>733526</v>
      </c>
      <c r="D138" s="16">
        <v>-3.2623130166675699E-3</v>
      </c>
      <c r="E138" s="16">
        <v>-3.6387775006620298E-3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489.65</v>
      </c>
      <c r="M138" s="34">
        <v>733526</v>
      </c>
      <c r="N138" s="35">
        <v>1498.06188093536</v>
      </c>
      <c r="O138" s="35">
        <v>1499.9485700668399</v>
      </c>
      <c r="P138" s="35">
        <v>1500.1058180581699</v>
      </c>
      <c r="Q138" s="35">
        <v>1499.4896921182401</v>
      </c>
      <c r="R138" s="34">
        <v>734449.81733323098</v>
      </c>
      <c r="S138" s="34">
        <v>734621.71381218301</v>
      </c>
      <c r="T138" s="34">
        <v>734340.96181842103</v>
      </c>
      <c r="U138" s="16">
        <v>1.2586276208072799E-3</v>
      </c>
      <c r="V138" s="16">
        <v>1.49264819242972E-3</v>
      </c>
      <c r="W138" s="16">
        <v>1.11040294979951E-3</v>
      </c>
      <c r="X138" s="35">
        <v>1498.06188093536</v>
      </c>
      <c r="Y138" s="35">
        <v>1499.9485700668399</v>
      </c>
      <c r="Z138" s="35">
        <v>1500.1058180581699</v>
      </c>
      <c r="AA138" s="35">
        <v>1499.4896921182401</v>
      </c>
      <c r="AB138" s="34">
        <v>734449.81733323098</v>
      </c>
      <c r="AC138" s="34">
        <v>734621.71381218301</v>
      </c>
      <c r="AD138" s="34">
        <v>734340.96181842103</v>
      </c>
      <c r="AE138" s="16">
        <v>1.2586276208072799E-3</v>
      </c>
      <c r="AF138" s="16">
        <v>1.49264819242972E-3</v>
      </c>
      <c r="AG138" s="16">
        <v>1.11040294979951E-3</v>
      </c>
      <c r="AI138" s="12"/>
      <c r="AJ138">
        <f>IF($AG138&lt;AI$21,1,0)</f>
        <v>0</v>
      </c>
      <c r="AK138">
        <f>IF($AG138&gt;AI$22,1,0)</f>
        <v>1</v>
      </c>
      <c r="AL138">
        <f t="shared" si="12"/>
        <v>0</v>
      </c>
      <c r="AM138">
        <f>IF(F139+H139&gt;0,0,1)</f>
        <v>1</v>
      </c>
      <c r="AN138">
        <f t="shared" si="13"/>
        <v>0</v>
      </c>
      <c r="AO138" s="29">
        <f>AN138*D138</f>
        <v>0</v>
      </c>
      <c r="AP138" s="29">
        <f>-AN138*$E138</f>
        <v>0</v>
      </c>
      <c r="AQ138" s="29">
        <f t="shared" si="14"/>
        <v>0</v>
      </c>
      <c r="AR138" s="30">
        <f t="shared" si="15"/>
        <v>2.8220064066241741E-2</v>
      </c>
      <c r="AT138" s="12"/>
      <c r="AU138">
        <f>IF($AG138&gt;AT$21,1,0)</f>
        <v>0</v>
      </c>
      <c r="AV138">
        <f>IF($AG138&lt;AT$22,1,0)</f>
        <v>0</v>
      </c>
      <c r="AW138">
        <f t="shared" si="16"/>
        <v>0</v>
      </c>
      <c r="AX138">
        <f>IF(F139+H139&gt;0,0,1)</f>
        <v>1</v>
      </c>
      <c r="AY138">
        <f t="shared" si="17"/>
        <v>0</v>
      </c>
      <c r="AZ138" s="29">
        <f>-AY138*D138</f>
        <v>0</v>
      </c>
      <c r="BA138" s="29">
        <f>AY138*$E138</f>
        <v>0</v>
      </c>
      <c r="BB138" s="29">
        <f t="shared" si="18"/>
        <v>0</v>
      </c>
      <c r="BC138" s="30">
        <f t="shared" si="19"/>
        <v>1.0399144315200178E-2</v>
      </c>
      <c r="BE138" s="30">
        <f t="shared" si="20"/>
        <v>0</v>
      </c>
      <c r="BF138" s="30">
        <f t="shared" si="21"/>
        <v>3.8619208381441922E-2</v>
      </c>
      <c r="BH138" s="30"/>
    </row>
    <row r="139" spans="1:60" x14ac:dyDescent="0.25">
      <c r="A139" s="1">
        <v>46225</v>
      </c>
      <c r="B139" s="34">
        <v>489.39</v>
      </c>
      <c r="C139" s="34">
        <v>732750</v>
      </c>
      <c r="D139" s="16">
        <v>-5.3113255048254304E-4</v>
      </c>
      <c r="E139" s="16">
        <v>-1.0584638532568E-3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489.39</v>
      </c>
      <c r="M139" s="34">
        <v>732750</v>
      </c>
      <c r="N139" s="35">
        <v>1497.2721142646899</v>
      </c>
      <c r="O139" s="35">
        <v>1499.9485700668399</v>
      </c>
      <c r="P139" s="35">
        <v>1498.60725693467</v>
      </c>
      <c r="Q139" s="35">
        <v>1499.49685620082</v>
      </c>
      <c r="R139" s="34">
        <v>734059.83070501406</v>
      </c>
      <c r="S139" s="34">
        <v>734136.78629948804</v>
      </c>
      <c r="T139" s="34">
        <v>733835.26042574504</v>
      </c>
      <c r="U139" s="16">
        <v>1.78595892358149E-3</v>
      </c>
      <c r="V139" s="16">
        <v>1.89078901738964E-3</v>
      </c>
      <c r="W139" s="16">
        <v>1.4799829960409801E-3</v>
      </c>
      <c r="X139" s="35">
        <v>1497.2721142646899</v>
      </c>
      <c r="Y139" s="35">
        <v>1499.9485700668399</v>
      </c>
      <c r="Z139" s="35">
        <v>1498.60725693467</v>
      </c>
      <c r="AA139" s="35">
        <v>1499.49685620082</v>
      </c>
      <c r="AB139" s="34">
        <v>734059.83070501406</v>
      </c>
      <c r="AC139" s="34">
        <v>734136.78629948804</v>
      </c>
      <c r="AD139" s="34">
        <v>733835.26042574504</v>
      </c>
      <c r="AE139" s="16">
        <v>1.78595892358149E-3</v>
      </c>
      <c r="AF139" s="16">
        <v>1.89078901738964E-3</v>
      </c>
      <c r="AG139" s="16">
        <v>1.4799829960409801E-3</v>
      </c>
      <c r="AI139" s="12"/>
      <c r="AJ139">
        <f>IF($AG139&lt;AI$21,1,0)</f>
        <v>0</v>
      </c>
      <c r="AK139">
        <f>IF($AG139&gt;AI$22,1,0)</f>
        <v>1</v>
      </c>
      <c r="AL139">
        <f t="shared" si="12"/>
        <v>0</v>
      </c>
      <c r="AM139">
        <f>IF(F140+H140&gt;0,0,1)</f>
        <v>1</v>
      </c>
      <c r="AN139">
        <f t="shared" si="13"/>
        <v>0</v>
      </c>
      <c r="AO139" s="29">
        <f>AN139*D139</f>
        <v>0</v>
      </c>
      <c r="AP139" s="29">
        <f>-AN139*$E139</f>
        <v>0</v>
      </c>
      <c r="AQ139" s="29">
        <f t="shared" si="14"/>
        <v>0</v>
      </c>
      <c r="AR139" s="30">
        <f t="shared" si="15"/>
        <v>2.8220064066241741E-2</v>
      </c>
      <c r="AT139" s="12"/>
      <c r="AU139">
        <f>IF($AG139&gt;AT$21,1,0)</f>
        <v>0</v>
      </c>
      <c r="AV139">
        <f>IF($AG139&lt;AT$22,1,0)</f>
        <v>0</v>
      </c>
      <c r="AW139">
        <f t="shared" si="16"/>
        <v>0</v>
      </c>
      <c r="AX139">
        <f>IF(F140+H140&gt;0,0,1)</f>
        <v>1</v>
      </c>
      <c r="AY139">
        <f t="shared" si="17"/>
        <v>0</v>
      </c>
      <c r="AZ139" s="29">
        <f>-AY139*D139</f>
        <v>0</v>
      </c>
      <c r="BA139" s="29">
        <f>AY139*$E139</f>
        <v>0</v>
      </c>
      <c r="BB139" s="29">
        <f t="shared" si="18"/>
        <v>0</v>
      </c>
      <c r="BC139" s="30">
        <f t="shared" si="19"/>
        <v>1.0399144315200178E-2</v>
      </c>
      <c r="BE139" s="30">
        <f t="shared" si="20"/>
        <v>0</v>
      </c>
      <c r="BF139" s="30">
        <f t="shared" si="21"/>
        <v>3.8619208381441922E-2</v>
      </c>
      <c r="BH139" s="30"/>
    </row>
    <row r="140" spans="1:60" x14ac:dyDescent="0.25">
      <c r="A140" s="1">
        <v>46226</v>
      </c>
      <c r="B140" s="34">
        <v>490.85</v>
      </c>
      <c r="C140" s="34">
        <v>736632.44</v>
      </c>
      <c r="D140" s="16">
        <v>2.97886452220948E-3</v>
      </c>
      <c r="E140" s="16">
        <v>5.2844636348547101E-3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490.85</v>
      </c>
      <c r="M140" s="34">
        <v>736632.44</v>
      </c>
      <c r="N140" s="35">
        <v>1500.72820617296</v>
      </c>
      <c r="O140" s="35">
        <v>1499.9485700668399</v>
      </c>
      <c r="P140" s="35">
        <v>1499.1130051934999</v>
      </c>
      <c r="Q140" s="35">
        <v>1499.4640480215601</v>
      </c>
      <c r="R140" s="34">
        <v>736249.75561731099</v>
      </c>
      <c r="S140" s="34">
        <v>735591.37206638197</v>
      </c>
      <c r="T140" s="34">
        <v>736028.03186617501</v>
      </c>
      <c r="U140" s="16">
        <v>-5.1964018906343399E-4</v>
      </c>
      <c r="V140" s="16">
        <v>-1.41427967488633E-3</v>
      </c>
      <c r="W140" s="16">
        <v>-8.2083844756812303E-4</v>
      </c>
      <c r="X140" s="35">
        <v>1500.72820617296</v>
      </c>
      <c r="Y140" s="35">
        <v>1499.9485700668399</v>
      </c>
      <c r="Z140" s="35">
        <v>1499.1130051934999</v>
      </c>
      <c r="AA140" s="35">
        <v>1499.4640480215601</v>
      </c>
      <c r="AB140" s="34">
        <v>736249.75561731099</v>
      </c>
      <c r="AC140" s="34">
        <v>735591.37206638197</v>
      </c>
      <c r="AD140" s="34">
        <v>736028.03186617501</v>
      </c>
      <c r="AE140" s="16">
        <v>-5.1964018906343399E-4</v>
      </c>
      <c r="AF140" s="16">
        <v>-1.41427967488633E-3</v>
      </c>
      <c r="AG140" s="16">
        <v>-8.2083844756812303E-4</v>
      </c>
      <c r="AI140" s="12"/>
      <c r="AJ140">
        <f>IF($AG140&lt;AI$21,1,0)</f>
        <v>0</v>
      </c>
      <c r="AK140">
        <f>IF($AG140&gt;AI$22,1,0)</f>
        <v>1</v>
      </c>
      <c r="AL140">
        <f t="shared" si="12"/>
        <v>0</v>
      </c>
      <c r="AM140">
        <f>IF(F141+H141&gt;0,0,1)</f>
        <v>1</v>
      </c>
      <c r="AN140">
        <f t="shared" si="13"/>
        <v>0</v>
      </c>
      <c r="AO140" s="29">
        <f>AN140*D140</f>
        <v>0</v>
      </c>
      <c r="AP140" s="29">
        <f>-AN140*$E140</f>
        <v>0</v>
      </c>
      <c r="AQ140" s="29">
        <f t="shared" si="14"/>
        <v>0</v>
      </c>
      <c r="AR140" s="30">
        <f t="shared" si="15"/>
        <v>2.8220064066241741E-2</v>
      </c>
      <c r="AT140" s="12"/>
      <c r="AU140">
        <f>IF($AG140&gt;AT$21,1,0)</f>
        <v>0</v>
      </c>
      <c r="AV140">
        <f>IF($AG140&lt;AT$22,1,0)</f>
        <v>1</v>
      </c>
      <c r="AW140">
        <f t="shared" si="16"/>
        <v>0</v>
      </c>
      <c r="AX140">
        <f>IF(F141+H141&gt;0,0,1)</f>
        <v>1</v>
      </c>
      <c r="AY140">
        <f t="shared" si="17"/>
        <v>0</v>
      </c>
      <c r="AZ140" s="29">
        <f>-AY140*D140</f>
        <v>0</v>
      </c>
      <c r="BA140" s="29">
        <f>AY140*$E140</f>
        <v>0</v>
      </c>
      <c r="BB140" s="29">
        <f t="shared" si="18"/>
        <v>0</v>
      </c>
      <c r="BC140" s="30">
        <f t="shared" si="19"/>
        <v>1.0399144315200178E-2</v>
      </c>
      <c r="BE140" s="30">
        <f t="shared" si="20"/>
        <v>0</v>
      </c>
      <c r="BF140" s="30">
        <f t="shared" si="21"/>
        <v>3.8619208381441922E-2</v>
      </c>
      <c r="BH140" s="30"/>
    </row>
    <row r="141" spans="1:60" x14ac:dyDescent="0.25">
      <c r="A141" s="1">
        <v>46227</v>
      </c>
      <c r="B141" s="34">
        <v>494.93</v>
      </c>
      <c r="C141" s="34">
        <v>745000</v>
      </c>
      <c r="D141" s="16">
        <v>8.27775628882336E-3</v>
      </c>
      <c r="E141" s="16">
        <v>1.1295175153702999E-2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494.93</v>
      </c>
      <c r="M141" s="34">
        <v>745000</v>
      </c>
      <c r="N141" s="35">
        <v>1505.26337057765</v>
      </c>
      <c r="O141" s="35">
        <v>1499.9485700668399</v>
      </c>
      <c r="P141" s="35">
        <v>1499.8044189156999</v>
      </c>
      <c r="Q141" s="35">
        <v>1499.55450586391</v>
      </c>
      <c r="R141" s="34">
        <v>742369.545783184</v>
      </c>
      <c r="S141" s="34">
        <v>741955.99966042105</v>
      </c>
      <c r="T141" s="34">
        <v>742129.74128731503</v>
      </c>
      <c r="U141" s="16">
        <v>-3.5370590539432001E-3</v>
      </c>
      <c r="V141" s="16">
        <v>-4.0942766195008499E-3</v>
      </c>
      <c r="W141" s="16">
        <v>-3.8601370103199498E-3</v>
      </c>
      <c r="X141" s="35">
        <v>1505.26337057765</v>
      </c>
      <c r="Y141" s="35">
        <v>1499.9485700668399</v>
      </c>
      <c r="Z141" s="35">
        <v>1499.8044189156999</v>
      </c>
      <c r="AA141" s="35">
        <v>1499.55450586391</v>
      </c>
      <c r="AB141" s="34">
        <v>742369.545783184</v>
      </c>
      <c r="AC141" s="34">
        <v>741955.99966042105</v>
      </c>
      <c r="AD141" s="34">
        <v>742129.74128731503</v>
      </c>
      <c r="AE141" s="16">
        <v>-3.5370590539432001E-3</v>
      </c>
      <c r="AF141" s="16">
        <v>-4.0942766195008499E-3</v>
      </c>
      <c r="AG141" s="16">
        <v>-3.8601370103199498E-3</v>
      </c>
      <c r="AI141" s="12"/>
      <c r="AJ141">
        <f>IF($AG141&lt;AI$21,1,0)</f>
        <v>0</v>
      </c>
      <c r="AK141">
        <f>IF($AG141&gt;AI$22,1,0)</f>
        <v>0</v>
      </c>
      <c r="AL141">
        <f t="shared" si="12"/>
        <v>0</v>
      </c>
      <c r="AM141">
        <f>IF(F142+H142&gt;0,0,1)</f>
        <v>1</v>
      </c>
      <c r="AN141">
        <f t="shared" si="13"/>
        <v>0</v>
      </c>
      <c r="AO141" s="29">
        <f>AN141*D141</f>
        <v>0</v>
      </c>
      <c r="AP141" s="29">
        <f>-AN141*$E141</f>
        <v>0</v>
      </c>
      <c r="AQ141" s="29">
        <f t="shared" si="14"/>
        <v>0</v>
      </c>
      <c r="AR141" s="30">
        <f t="shared" si="15"/>
        <v>2.8220064066241741E-2</v>
      </c>
      <c r="AT141" s="12"/>
      <c r="AU141">
        <f>IF($AG141&gt;AT$21,1,0)</f>
        <v>0</v>
      </c>
      <c r="AV141">
        <f>IF($AG141&lt;AT$22,1,0)</f>
        <v>1</v>
      </c>
      <c r="AW141">
        <f t="shared" si="16"/>
        <v>0</v>
      </c>
      <c r="AX141">
        <f>IF(F142+H142&gt;0,0,1)</f>
        <v>1</v>
      </c>
      <c r="AY141">
        <f t="shared" si="17"/>
        <v>0</v>
      </c>
      <c r="AZ141" s="29">
        <f>-AY141*D141</f>
        <v>0</v>
      </c>
      <c r="BA141" s="29">
        <f>AY141*$E141</f>
        <v>0</v>
      </c>
      <c r="BB141" s="29">
        <f t="shared" si="18"/>
        <v>0</v>
      </c>
      <c r="BC141" s="30">
        <f t="shared" si="19"/>
        <v>1.0399144315200178E-2</v>
      </c>
      <c r="BE141" s="30">
        <f t="shared" si="20"/>
        <v>0</v>
      </c>
      <c r="BF141" s="30">
        <f t="shared" si="21"/>
        <v>3.8619208381441922E-2</v>
      </c>
      <c r="BH141" s="30"/>
    </row>
    <row r="142" spans="1:60" x14ac:dyDescent="0.25">
      <c r="A142" s="1">
        <v>46230</v>
      </c>
      <c r="B142" s="34">
        <v>497.18</v>
      </c>
      <c r="C142" s="34">
        <v>745840</v>
      </c>
      <c r="D142" s="16">
        <v>4.5357951386805198E-3</v>
      </c>
      <c r="E142" s="16">
        <v>1.1268816088786E-3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497.18</v>
      </c>
      <c r="M142" s="34">
        <v>745840</v>
      </c>
      <c r="N142" s="35">
        <v>1500.1407940786</v>
      </c>
      <c r="O142" s="35">
        <v>1499.9485700668399</v>
      </c>
      <c r="P142" s="35">
        <v>1499.9040372186</v>
      </c>
      <c r="Q142" s="35">
        <v>1499.84731142032</v>
      </c>
      <c r="R142" s="34">
        <v>745744.43006583396</v>
      </c>
      <c r="S142" s="34">
        <v>745672.76099651202</v>
      </c>
      <c r="T142" s="34">
        <v>745548.509225421</v>
      </c>
      <c r="U142" s="16">
        <v>-1.2814552414127501E-4</v>
      </c>
      <c r="V142" s="16">
        <v>-2.24254204941414E-4</v>
      </c>
      <c r="W142" s="16">
        <v>-3.90898517036107E-4</v>
      </c>
      <c r="X142" s="35">
        <v>1500.1407940786</v>
      </c>
      <c r="Y142" s="35">
        <v>1499.9485700668399</v>
      </c>
      <c r="Z142" s="35">
        <v>1499.9040372186</v>
      </c>
      <c r="AA142" s="35">
        <v>1499.84731142032</v>
      </c>
      <c r="AB142" s="34">
        <v>745744.43006583396</v>
      </c>
      <c r="AC142" s="34">
        <v>745672.76099651202</v>
      </c>
      <c r="AD142" s="34">
        <v>745548.509225421</v>
      </c>
      <c r="AE142" s="16">
        <v>-1.2814552414127501E-4</v>
      </c>
      <c r="AF142" s="16">
        <v>-2.24254204941414E-4</v>
      </c>
      <c r="AG142" s="16">
        <v>-3.90898517036107E-4</v>
      </c>
      <c r="AI142" s="12"/>
      <c r="AJ142">
        <f>IF($AG142&lt;AI$21,1,0)</f>
        <v>0</v>
      </c>
      <c r="AK142">
        <f>IF($AG142&gt;AI$22,1,0)</f>
        <v>1</v>
      </c>
      <c r="AL142">
        <f t="shared" si="12"/>
        <v>0</v>
      </c>
      <c r="AM142">
        <f>IF(F143+H143&gt;0,0,1)</f>
        <v>1</v>
      </c>
      <c r="AN142">
        <f t="shared" si="13"/>
        <v>0</v>
      </c>
      <c r="AO142" s="29">
        <f>AN142*D142</f>
        <v>0</v>
      </c>
      <c r="AP142" s="29">
        <f>-AN142*$E142</f>
        <v>0</v>
      </c>
      <c r="AQ142" s="29">
        <f t="shared" si="14"/>
        <v>0</v>
      </c>
      <c r="AR142" s="30">
        <f t="shared" si="15"/>
        <v>2.8220064066241741E-2</v>
      </c>
      <c r="AT142" s="12"/>
      <c r="AU142">
        <f>IF($AG142&gt;AT$21,1,0)</f>
        <v>0</v>
      </c>
      <c r="AV142">
        <f>IF($AG142&lt;AT$22,1,0)</f>
        <v>1</v>
      </c>
      <c r="AW142">
        <f t="shared" si="16"/>
        <v>0</v>
      </c>
      <c r="AX142">
        <f>IF(F143+H143&gt;0,0,1)</f>
        <v>1</v>
      </c>
      <c r="AY142">
        <f t="shared" si="17"/>
        <v>0</v>
      </c>
      <c r="AZ142" s="29">
        <f>-AY142*D142</f>
        <v>0</v>
      </c>
      <c r="BA142" s="29">
        <f>AY142*$E142</f>
        <v>0</v>
      </c>
      <c r="BB142" s="29">
        <f t="shared" si="18"/>
        <v>0</v>
      </c>
      <c r="BC142" s="30">
        <f t="shared" si="19"/>
        <v>1.0399144315200178E-2</v>
      </c>
      <c r="BE142" s="30">
        <f t="shared" si="20"/>
        <v>0</v>
      </c>
      <c r="BF142" s="30">
        <f t="shared" si="21"/>
        <v>3.8619208381441922E-2</v>
      </c>
      <c r="BH142" s="30"/>
    </row>
    <row r="143" spans="1:60" x14ac:dyDescent="0.25">
      <c r="A143" s="1">
        <v>46231</v>
      </c>
      <c r="B143" s="34">
        <v>512.37</v>
      </c>
      <c r="C143" s="34">
        <v>768010</v>
      </c>
      <c r="D143" s="16">
        <v>3.0094886733175601E-2</v>
      </c>
      <c r="E143" s="16">
        <v>2.9291653907797002E-2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512.37</v>
      </c>
      <c r="M143" s="34">
        <v>768010</v>
      </c>
      <c r="N143" s="35">
        <v>1498.9363155532101</v>
      </c>
      <c r="O143" s="35">
        <v>1499.9485700668399</v>
      </c>
      <c r="P143" s="35">
        <v>1499.7233443120101</v>
      </c>
      <c r="Q143" s="35">
        <v>1499.8435223592801</v>
      </c>
      <c r="R143" s="34">
        <v>768528.64884515002</v>
      </c>
      <c r="S143" s="34">
        <v>768505.83154969802</v>
      </c>
      <c r="T143" s="34">
        <v>768476.76695243397</v>
      </c>
      <c r="U143" s="16">
        <v>6.75087301237303E-4</v>
      </c>
      <c r="V143" s="16">
        <v>6.4539727704483805E-4</v>
      </c>
      <c r="W143" s="16">
        <v>6.0757694349585802E-4</v>
      </c>
      <c r="X143" s="35">
        <v>1498.9363155532101</v>
      </c>
      <c r="Y143" s="35">
        <v>1499.9485700668399</v>
      </c>
      <c r="Z143" s="35">
        <v>1499.7233443120101</v>
      </c>
      <c r="AA143" s="35">
        <v>1499.8435223592801</v>
      </c>
      <c r="AB143" s="34">
        <v>768528.64884515002</v>
      </c>
      <c r="AC143" s="34">
        <v>768505.83154969802</v>
      </c>
      <c r="AD143" s="34">
        <v>768476.76695243397</v>
      </c>
      <c r="AE143" s="16">
        <v>6.75087301237303E-4</v>
      </c>
      <c r="AF143" s="16">
        <v>6.4539727704483805E-4</v>
      </c>
      <c r="AG143" s="16">
        <v>6.0757694349585802E-4</v>
      </c>
      <c r="AI143" s="12"/>
      <c r="AJ143">
        <f>IF($AG143&lt;AI$21,1,0)</f>
        <v>0</v>
      </c>
      <c r="AK143">
        <f>IF($AG143&gt;AI$22,1,0)</f>
        <v>1</v>
      </c>
      <c r="AL143">
        <f t="shared" si="12"/>
        <v>0</v>
      </c>
      <c r="AM143">
        <f>IF(F144+H144&gt;0,0,1)</f>
        <v>1</v>
      </c>
      <c r="AN143">
        <f t="shared" si="13"/>
        <v>0</v>
      </c>
      <c r="AO143" s="29">
        <f>AN143*D143</f>
        <v>0</v>
      </c>
      <c r="AP143" s="29">
        <f>-AN143*$E143</f>
        <v>0</v>
      </c>
      <c r="AQ143" s="29">
        <f t="shared" si="14"/>
        <v>0</v>
      </c>
      <c r="AR143" s="30">
        <f t="shared" si="15"/>
        <v>2.8220064066241741E-2</v>
      </c>
      <c r="AT143" s="12"/>
      <c r="AU143">
        <f>IF($AG143&gt;AT$21,1,0)</f>
        <v>0</v>
      </c>
      <c r="AV143">
        <f>IF($AG143&lt;AT$22,1,0)</f>
        <v>1</v>
      </c>
      <c r="AW143">
        <f t="shared" si="16"/>
        <v>0</v>
      </c>
      <c r="AX143">
        <f>IF(F144+H144&gt;0,0,1)</f>
        <v>1</v>
      </c>
      <c r="AY143">
        <f t="shared" si="17"/>
        <v>0</v>
      </c>
      <c r="AZ143" s="29">
        <f>-AY143*D143</f>
        <v>0</v>
      </c>
      <c r="BA143" s="29">
        <f>AY143*$E143</f>
        <v>0</v>
      </c>
      <c r="BB143" s="29">
        <f t="shared" si="18"/>
        <v>0</v>
      </c>
      <c r="BC143" s="30">
        <f t="shared" si="19"/>
        <v>1.0399144315200178E-2</v>
      </c>
      <c r="BE143" s="30">
        <f t="shared" si="20"/>
        <v>0</v>
      </c>
      <c r="BF143" s="30">
        <f t="shared" si="21"/>
        <v>3.8619208381441922E-2</v>
      </c>
      <c r="BH143" s="30"/>
    </row>
    <row r="144" spans="1:60" x14ac:dyDescent="0.25">
      <c r="A144" s="1">
        <v>46232</v>
      </c>
      <c r="B144" s="34">
        <v>509.16</v>
      </c>
      <c r="C144" s="34">
        <v>763167</v>
      </c>
      <c r="D144" s="16">
        <v>-6.2847112969760498E-3</v>
      </c>
      <c r="E144" s="16">
        <v>-6.3258736907013903E-3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509.16</v>
      </c>
      <c r="M144" s="34">
        <v>763167</v>
      </c>
      <c r="N144" s="35">
        <v>1498.8746170162599</v>
      </c>
      <c r="O144" s="35">
        <v>1499.9485700668399</v>
      </c>
      <c r="P144" s="35">
        <v>1499.47668089846</v>
      </c>
      <c r="Q144" s="35">
        <v>1499.96061798556</v>
      </c>
      <c r="R144" s="34">
        <v>763713.81393523503</v>
      </c>
      <c r="S144" s="34">
        <v>763599.13798990694</v>
      </c>
      <c r="T144" s="34">
        <v>763660.32784445095</v>
      </c>
      <c r="U144" s="16">
        <v>7.1624969496250602E-4</v>
      </c>
      <c r="V144" s="16">
        <v>5.6608276892499896E-4</v>
      </c>
      <c r="W144" s="16">
        <v>6.4621303617260297E-4</v>
      </c>
      <c r="X144" s="35">
        <v>1498.8746170162599</v>
      </c>
      <c r="Y144" s="35">
        <v>1499.9485700668399</v>
      </c>
      <c r="Z144" s="35">
        <v>1499.47668089846</v>
      </c>
      <c r="AA144" s="35">
        <v>1499.96061798556</v>
      </c>
      <c r="AB144" s="34">
        <v>763713.81393523503</v>
      </c>
      <c r="AC144" s="34">
        <v>763599.13798990694</v>
      </c>
      <c r="AD144" s="34">
        <v>763660.32784445095</v>
      </c>
      <c r="AE144" s="16">
        <v>7.1624969496250602E-4</v>
      </c>
      <c r="AF144" s="16">
        <v>5.6608276892499896E-4</v>
      </c>
      <c r="AG144" s="16">
        <v>6.4621303617260297E-4</v>
      </c>
      <c r="AI144" s="12"/>
      <c r="AJ144">
        <f>IF($AG144&lt;AI$21,1,0)</f>
        <v>0</v>
      </c>
      <c r="AK144">
        <f>IF($AG144&gt;AI$22,1,0)</f>
        <v>1</v>
      </c>
      <c r="AL144">
        <f t="shared" si="12"/>
        <v>0</v>
      </c>
      <c r="AM144">
        <f>IF(F145+H145&gt;0,0,1)</f>
        <v>1</v>
      </c>
      <c r="AN144">
        <f t="shared" si="13"/>
        <v>0</v>
      </c>
      <c r="AO144" s="29">
        <f>AN144*D144</f>
        <v>0</v>
      </c>
      <c r="AP144" s="29">
        <f>-AN144*$E144</f>
        <v>0</v>
      </c>
      <c r="AQ144" s="29">
        <f t="shared" si="14"/>
        <v>0</v>
      </c>
      <c r="AR144" s="30">
        <f t="shared" si="15"/>
        <v>2.8220064066241741E-2</v>
      </c>
      <c r="AT144" s="12"/>
      <c r="AU144">
        <f>IF($AG144&gt;AT$21,1,0)</f>
        <v>0</v>
      </c>
      <c r="AV144">
        <f>IF($AG144&lt;AT$22,1,0)</f>
        <v>1</v>
      </c>
      <c r="AW144">
        <f t="shared" si="16"/>
        <v>0</v>
      </c>
      <c r="AX144">
        <f>IF(F145+H145&gt;0,0,1)</f>
        <v>1</v>
      </c>
      <c r="AY144">
        <f t="shared" si="17"/>
        <v>0</v>
      </c>
      <c r="AZ144" s="29">
        <f>-AY144*D144</f>
        <v>0</v>
      </c>
      <c r="BA144" s="29">
        <f>AY144*$E144</f>
        <v>0</v>
      </c>
      <c r="BB144" s="29">
        <f t="shared" si="18"/>
        <v>0</v>
      </c>
      <c r="BC144" s="30">
        <f t="shared" si="19"/>
        <v>1.0399144315200178E-2</v>
      </c>
      <c r="BE144" s="30">
        <f t="shared" si="20"/>
        <v>0</v>
      </c>
      <c r="BF144" s="30">
        <f t="shared" si="21"/>
        <v>3.8619208381441922E-2</v>
      </c>
      <c r="BH144" s="30"/>
    </row>
    <row r="145" spans="1:60" x14ac:dyDescent="0.25">
      <c r="A145" s="1">
        <v>46233</v>
      </c>
      <c r="B145" s="34">
        <v>509.68</v>
      </c>
      <c r="C145" s="34">
        <v>764990</v>
      </c>
      <c r="D145" s="16">
        <v>1.0207688059988001E-3</v>
      </c>
      <c r="E145" s="16">
        <v>2.3858816401391698E-3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509.68</v>
      </c>
      <c r="M145" s="34">
        <v>764990</v>
      </c>
      <c r="N145" s="35">
        <v>1500.9221472296299</v>
      </c>
      <c r="O145" s="35">
        <v>1499.9485700668399</v>
      </c>
      <c r="P145" s="35">
        <v>1499.8081882885199</v>
      </c>
      <c r="Q145" s="35">
        <v>1499.8676530294399</v>
      </c>
      <c r="R145" s="34">
        <v>764493.78719167004</v>
      </c>
      <c r="S145" s="34">
        <v>764253.274720327</v>
      </c>
      <c r="T145" s="34">
        <v>764499.92777488404</v>
      </c>
      <c r="U145" s="16">
        <v>-6.4886313917771196E-4</v>
      </c>
      <c r="V145" s="16">
        <v>-9.6351620287896101E-4</v>
      </c>
      <c r="W145" s="16">
        <v>-6.4083095022325197E-4</v>
      </c>
      <c r="X145" s="35">
        <v>1500.9221472296299</v>
      </c>
      <c r="Y145" s="35">
        <v>1499.9485700668399</v>
      </c>
      <c r="Z145" s="35">
        <v>1499.8081882885199</v>
      </c>
      <c r="AA145" s="35">
        <v>1499.8676530294399</v>
      </c>
      <c r="AB145" s="34">
        <v>764493.78719167004</v>
      </c>
      <c r="AC145" s="34">
        <v>764253.274720327</v>
      </c>
      <c r="AD145" s="34">
        <v>764499.92777488404</v>
      </c>
      <c r="AE145" s="16">
        <v>-6.4886313917771196E-4</v>
      </c>
      <c r="AF145" s="16">
        <v>-9.6351620287896101E-4</v>
      </c>
      <c r="AG145" s="16">
        <v>-6.4083095022325197E-4</v>
      </c>
      <c r="AI145" s="12"/>
      <c r="AJ145">
        <f>IF($AG145&lt;AI$21,1,0)</f>
        <v>0</v>
      </c>
      <c r="AK145">
        <f>IF($AG145&gt;AI$22,1,0)</f>
        <v>1</v>
      </c>
      <c r="AL145">
        <f t="shared" si="12"/>
        <v>0</v>
      </c>
      <c r="AM145">
        <f>IF(F146+H146&gt;0,0,1)</f>
        <v>1</v>
      </c>
      <c r="AN145">
        <f t="shared" si="13"/>
        <v>0</v>
      </c>
      <c r="AO145" s="29">
        <f>AN145*D145</f>
        <v>0</v>
      </c>
      <c r="AP145" s="29">
        <f>-AN145*$E145</f>
        <v>0</v>
      </c>
      <c r="AQ145" s="29">
        <f t="shared" si="14"/>
        <v>0</v>
      </c>
      <c r="AR145" s="30">
        <f t="shared" si="15"/>
        <v>2.8220064066241741E-2</v>
      </c>
      <c r="AT145" s="12"/>
      <c r="AU145">
        <f>IF($AG145&gt;AT$21,1,0)</f>
        <v>0</v>
      </c>
      <c r="AV145">
        <f>IF($AG145&lt;AT$22,1,0)</f>
        <v>1</v>
      </c>
      <c r="AW145">
        <f t="shared" si="16"/>
        <v>0</v>
      </c>
      <c r="AX145">
        <f>IF(F146+H146&gt;0,0,1)</f>
        <v>1</v>
      </c>
      <c r="AY145">
        <f t="shared" si="17"/>
        <v>0</v>
      </c>
      <c r="AZ145" s="29">
        <f>-AY145*D145</f>
        <v>0</v>
      </c>
      <c r="BA145" s="29">
        <f>AY145*$E145</f>
        <v>0</v>
      </c>
      <c r="BB145" s="29">
        <f t="shared" si="18"/>
        <v>0</v>
      </c>
      <c r="BC145" s="30">
        <f t="shared" si="19"/>
        <v>1.0399144315200178E-2</v>
      </c>
      <c r="BE145" s="30">
        <f t="shared" si="20"/>
        <v>0</v>
      </c>
      <c r="BF145" s="30">
        <f t="shared" si="21"/>
        <v>3.8619208381441922E-2</v>
      </c>
      <c r="BH145" s="30"/>
    </row>
    <row r="146" spans="1:60" x14ac:dyDescent="0.25">
      <c r="A146" s="1">
        <v>46234</v>
      </c>
      <c r="B146" s="34">
        <v>511.54</v>
      </c>
      <c r="C146" s="34">
        <v>766600</v>
      </c>
      <c r="D146" s="16">
        <v>3.6427058944046901E-3</v>
      </c>
      <c r="E146" s="16">
        <v>2.1023911007817301E-3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511.54</v>
      </c>
      <c r="M146" s="34">
        <v>766600</v>
      </c>
      <c r="N146" s="35">
        <v>1498.6120342495201</v>
      </c>
      <c r="O146" s="35">
        <v>1499.9485700668399</v>
      </c>
      <c r="P146" s="35">
        <v>1499.7437434276301</v>
      </c>
      <c r="Q146" s="35">
        <v>1499.8071168475501</v>
      </c>
      <c r="R146" s="34">
        <v>767283.69153199403</v>
      </c>
      <c r="S146" s="34">
        <v>767211.88063711103</v>
      </c>
      <c r="T146" s="34">
        <v>767242.29923068197</v>
      </c>
      <c r="U146" s="16">
        <v>8.9145165444537498E-4</v>
      </c>
      <c r="V146" s="16">
        <v>7.97856213391603E-4</v>
      </c>
      <c r="W146" s="16">
        <v>8.3750365803288498E-4</v>
      </c>
      <c r="X146" s="35">
        <v>1498.6120342495201</v>
      </c>
      <c r="Y146" s="35">
        <v>1499.9485700668399</v>
      </c>
      <c r="Z146" s="35">
        <v>1499.7437434276301</v>
      </c>
      <c r="AA146" s="35">
        <v>1499.8071168475501</v>
      </c>
      <c r="AB146" s="34">
        <v>767283.69153199403</v>
      </c>
      <c r="AC146" s="34">
        <v>767211.88063711103</v>
      </c>
      <c r="AD146" s="34">
        <v>767242.29923068197</v>
      </c>
      <c r="AE146" s="16">
        <v>8.9145165444537498E-4</v>
      </c>
      <c r="AF146" s="16">
        <v>7.97856213391603E-4</v>
      </c>
      <c r="AG146" s="16">
        <v>8.3750365803288498E-4</v>
      </c>
      <c r="AI146" s="12"/>
      <c r="AJ146">
        <f>IF($AG146&lt;AI$21,1,0)</f>
        <v>0</v>
      </c>
      <c r="AK146">
        <f>IF($AG146&gt;AI$22,1,0)</f>
        <v>1</v>
      </c>
      <c r="AL146">
        <f t="shared" si="12"/>
        <v>0</v>
      </c>
      <c r="AM146">
        <f>IF(F147+H147&gt;0,0,1)</f>
        <v>1</v>
      </c>
      <c r="AN146">
        <f t="shared" si="13"/>
        <v>0</v>
      </c>
      <c r="AO146" s="29">
        <f>AN146*D146</f>
        <v>0</v>
      </c>
      <c r="AP146" s="29">
        <f>-AN146*$E146</f>
        <v>0</v>
      </c>
      <c r="AQ146" s="29">
        <f t="shared" si="14"/>
        <v>0</v>
      </c>
      <c r="AR146" s="30">
        <f t="shared" si="15"/>
        <v>2.8220064066241741E-2</v>
      </c>
      <c r="AT146" s="12"/>
      <c r="AU146">
        <f>IF($AG146&gt;AT$21,1,0)</f>
        <v>0</v>
      </c>
      <c r="AV146">
        <f>IF($AG146&lt;AT$22,1,0)</f>
        <v>1</v>
      </c>
      <c r="AW146">
        <f t="shared" si="16"/>
        <v>0</v>
      </c>
      <c r="AX146">
        <f>IF(F147+H147&gt;0,0,1)</f>
        <v>1</v>
      </c>
      <c r="AY146">
        <f t="shared" si="17"/>
        <v>0</v>
      </c>
      <c r="AZ146" s="29">
        <f>-AY146*D146</f>
        <v>0</v>
      </c>
      <c r="BA146" s="29">
        <f>AY146*$E146</f>
        <v>0</v>
      </c>
      <c r="BB146" s="29">
        <f t="shared" si="18"/>
        <v>0</v>
      </c>
      <c r="BC146" s="30">
        <f t="shared" si="19"/>
        <v>1.0399144315200178E-2</v>
      </c>
      <c r="BE146" s="30">
        <f t="shared" si="20"/>
        <v>0</v>
      </c>
      <c r="BF146" s="30">
        <f t="shared" si="21"/>
        <v>3.8619208381441922E-2</v>
      </c>
      <c r="BH146" s="30"/>
    </row>
    <row r="147" spans="1:60" x14ac:dyDescent="0.25">
      <c r="A147" s="1">
        <v>46237</v>
      </c>
      <c r="B147" s="34">
        <v>513.14</v>
      </c>
      <c r="C147" s="34">
        <v>768250</v>
      </c>
      <c r="D147" s="16">
        <v>3.12292871990785E-3</v>
      </c>
      <c r="E147" s="16">
        <v>2.1500480641393899E-3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513.14</v>
      </c>
      <c r="M147" s="34">
        <v>768250</v>
      </c>
      <c r="N147" s="35">
        <v>1497.15477257668</v>
      </c>
      <c r="O147" s="35">
        <v>1499.9485700668399</v>
      </c>
      <c r="P147" s="35">
        <v>1499.59662526546</v>
      </c>
      <c r="Q147" s="35">
        <v>1499.94812761504</v>
      </c>
      <c r="R147" s="34">
        <v>769683.60924410098</v>
      </c>
      <c r="S147" s="34">
        <v>769578.50450245803</v>
      </c>
      <c r="T147" s="34">
        <v>769611.02393915504</v>
      </c>
      <c r="U147" s="16">
        <v>1.86433231021388E-3</v>
      </c>
      <c r="V147" s="16">
        <v>1.7277672107837E-3</v>
      </c>
      <c r="W147" s="16">
        <v>1.77002248357658E-3</v>
      </c>
      <c r="X147" s="35">
        <v>1497.15477257668</v>
      </c>
      <c r="Y147" s="35">
        <v>1499.9485700668399</v>
      </c>
      <c r="Z147" s="35">
        <v>1499.59662526546</v>
      </c>
      <c r="AA147" s="35">
        <v>1499.94812761504</v>
      </c>
      <c r="AB147" s="34">
        <v>769683.60924410098</v>
      </c>
      <c r="AC147" s="34">
        <v>769578.50450245803</v>
      </c>
      <c r="AD147" s="34">
        <v>769611.02393915504</v>
      </c>
      <c r="AE147" s="16">
        <v>1.86433231021388E-3</v>
      </c>
      <c r="AF147" s="16">
        <v>1.7277672107837E-3</v>
      </c>
      <c r="AG147" s="16">
        <v>1.77002248357658E-3</v>
      </c>
      <c r="AI147" s="12"/>
      <c r="AJ147">
        <f>IF($AG147&lt;AI$21,1,0)</f>
        <v>0</v>
      </c>
      <c r="AK147">
        <f>IF($AG147&gt;AI$22,1,0)</f>
        <v>1</v>
      </c>
      <c r="AL147">
        <f t="shared" si="12"/>
        <v>0</v>
      </c>
      <c r="AM147">
        <f>IF(F148+H148&gt;0,0,1)</f>
        <v>1</v>
      </c>
      <c r="AN147">
        <f t="shared" si="13"/>
        <v>0</v>
      </c>
      <c r="AO147" s="29">
        <f>AN147*D147</f>
        <v>0</v>
      </c>
      <c r="AP147" s="29">
        <f>-AN147*$E147</f>
        <v>0</v>
      </c>
      <c r="AQ147" s="29">
        <f t="shared" si="14"/>
        <v>0</v>
      </c>
      <c r="AR147" s="30">
        <f t="shared" si="15"/>
        <v>2.8220064066241741E-2</v>
      </c>
      <c r="AT147" s="12"/>
      <c r="AU147">
        <f>IF($AG147&gt;AT$21,1,0)</f>
        <v>0</v>
      </c>
      <c r="AV147">
        <f>IF($AG147&lt;AT$22,1,0)</f>
        <v>0</v>
      </c>
      <c r="AW147">
        <f t="shared" si="16"/>
        <v>0</v>
      </c>
      <c r="AX147">
        <f>IF(F148+H148&gt;0,0,1)</f>
        <v>1</v>
      </c>
      <c r="AY147">
        <f t="shared" si="17"/>
        <v>0</v>
      </c>
      <c r="AZ147" s="29">
        <f>-AY147*D147</f>
        <v>0</v>
      </c>
      <c r="BA147" s="29">
        <f>AY147*$E147</f>
        <v>0</v>
      </c>
      <c r="BB147" s="29">
        <f t="shared" si="18"/>
        <v>0</v>
      </c>
      <c r="BC147" s="30">
        <f t="shared" si="19"/>
        <v>1.0399144315200178E-2</v>
      </c>
      <c r="BE147" s="30">
        <f t="shared" si="20"/>
        <v>0</v>
      </c>
      <c r="BF147" s="30">
        <f t="shared" si="21"/>
        <v>3.8619208381441922E-2</v>
      </c>
      <c r="BH147" s="30"/>
    </row>
    <row r="148" spans="1:60" x14ac:dyDescent="0.25">
      <c r="A148" s="1">
        <v>46238</v>
      </c>
      <c r="B148" s="34">
        <v>517.22</v>
      </c>
      <c r="C148" s="34">
        <v>774300</v>
      </c>
      <c r="D148" s="16">
        <v>7.9196034877487397E-3</v>
      </c>
      <c r="E148" s="16">
        <v>7.8441943820838998E-3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517.22</v>
      </c>
      <c r="M148" s="34">
        <v>774300</v>
      </c>
      <c r="N148" s="35">
        <v>1497.0418777309401</v>
      </c>
      <c r="O148" s="35">
        <v>1499.9485700668399</v>
      </c>
      <c r="P148" s="35">
        <v>1499.4946249450099</v>
      </c>
      <c r="Q148" s="35">
        <v>1499.8002215015899</v>
      </c>
      <c r="R148" s="34">
        <v>775803.39940997399</v>
      </c>
      <c r="S148" s="34">
        <v>775621.36651980097</v>
      </c>
      <c r="T148" s="34">
        <v>775803.17056505405</v>
      </c>
      <c r="U148" s="16">
        <v>1.9397414158785901E-3</v>
      </c>
      <c r="V148" s="16">
        <v>1.70507597156439E-3</v>
      </c>
      <c r="W148" s="16">
        <v>1.9394464378552701E-3</v>
      </c>
      <c r="X148" s="35">
        <v>1497.0418777309401</v>
      </c>
      <c r="Y148" s="35">
        <v>1499.9485700668399</v>
      </c>
      <c r="Z148" s="35">
        <v>1499.4946249450099</v>
      </c>
      <c r="AA148" s="35">
        <v>1499.8002215015899</v>
      </c>
      <c r="AB148" s="34">
        <v>775803.39940997399</v>
      </c>
      <c r="AC148" s="34">
        <v>775621.36651980097</v>
      </c>
      <c r="AD148" s="34">
        <v>775803.17056505405</v>
      </c>
      <c r="AE148" s="16">
        <v>1.9397414158785901E-3</v>
      </c>
      <c r="AF148" s="16">
        <v>1.70507597156439E-3</v>
      </c>
      <c r="AG148" s="16">
        <v>1.9394464378552701E-3</v>
      </c>
      <c r="AI148" s="12"/>
      <c r="AJ148">
        <f>IF($AG148&lt;AI$21,1,0)</f>
        <v>0</v>
      </c>
      <c r="AK148">
        <f>IF($AG148&gt;AI$22,1,0)</f>
        <v>1</v>
      </c>
      <c r="AL148">
        <f t="shared" si="12"/>
        <v>0</v>
      </c>
      <c r="AM148">
        <f>IF(F149+H149&gt;0,0,1)</f>
        <v>1</v>
      </c>
      <c r="AN148">
        <f t="shared" si="13"/>
        <v>0</v>
      </c>
      <c r="AO148" s="29">
        <f>AN148*D148</f>
        <v>0</v>
      </c>
      <c r="AP148" s="29">
        <f>-AN148*$E148</f>
        <v>0</v>
      </c>
      <c r="AQ148" s="29">
        <f t="shared" si="14"/>
        <v>0</v>
      </c>
      <c r="AR148" s="30">
        <f t="shared" si="15"/>
        <v>2.8220064066241741E-2</v>
      </c>
      <c r="AT148" s="12"/>
      <c r="AU148">
        <f>IF($AG148&gt;AT$21,1,0)</f>
        <v>0</v>
      </c>
      <c r="AV148">
        <f>IF($AG148&lt;AT$22,1,0)</f>
        <v>0</v>
      </c>
      <c r="AW148">
        <f t="shared" si="16"/>
        <v>0</v>
      </c>
      <c r="AX148">
        <f>IF(F149+H149&gt;0,0,1)</f>
        <v>1</v>
      </c>
      <c r="AY148">
        <f t="shared" si="17"/>
        <v>0</v>
      </c>
      <c r="AZ148" s="29">
        <f>-AY148*D148</f>
        <v>0</v>
      </c>
      <c r="BA148" s="29">
        <f>AY148*$E148</f>
        <v>0</v>
      </c>
      <c r="BB148" s="29">
        <f t="shared" si="18"/>
        <v>0</v>
      </c>
      <c r="BC148" s="30">
        <f t="shared" si="19"/>
        <v>1.0399144315200178E-2</v>
      </c>
      <c r="BE148" s="30">
        <f t="shared" si="20"/>
        <v>0</v>
      </c>
      <c r="BF148" s="30">
        <f t="shared" si="21"/>
        <v>3.8619208381441922E-2</v>
      </c>
      <c r="BH148" s="30"/>
    </row>
    <row r="149" spans="1:60" x14ac:dyDescent="0.25">
      <c r="A149" s="1">
        <v>46239</v>
      </c>
      <c r="B149" s="34">
        <v>518.85</v>
      </c>
      <c r="C149" s="34">
        <v>777696</v>
      </c>
      <c r="D149" s="16">
        <v>3.1465081409934302E-3</v>
      </c>
      <c r="E149" s="16">
        <v>4.3763069235124904E-3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518.85</v>
      </c>
      <c r="M149" s="34">
        <v>777696</v>
      </c>
      <c r="N149" s="35">
        <v>1498.8840705406101</v>
      </c>
      <c r="O149" s="35">
        <v>1499.9485700668399</v>
      </c>
      <c r="P149" s="35">
        <v>1499.6558205726101</v>
      </c>
      <c r="Q149" s="35">
        <v>1499.1315387536399</v>
      </c>
      <c r="R149" s="34">
        <v>778248.31557918305</v>
      </c>
      <c r="S149" s="34">
        <v>778012.78615272196</v>
      </c>
      <c r="T149" s="34">
        <v>778171.34492610197</v>
      </c>
      <c r="U149" s="16">
        <v>7.09942633359662E-4</v>
      </c>
      <c r="V149" s="16">
        <v>4.0725637075653002E-4</v>
      </c>
      <c r="W149" s="16">
        <v>6.1103530765934495E-4</v>
      </c>
      <c r="X149" s="35">
        <v>1498.8840705406101</v>
      </c>
      <c r="Y149" s="35">
        <v>1499.9485700668399</v>
      </c>
      <c r="Z149" s="35">
        <v>1499.6558205726101</v>
      </c>
      <c r="AA149" s="35">
        <v>1499.1315387536399</v>
      </c>
      <c r="AB149" s="34">
        <v>778248.31557918305</v>
      </c>
      <c r="AC149" s="34">
        <v>778012.78615272196</v>
      </c>
      <c r="AD149" s="34">
        <v>778171.34492610197</v>
      </c>
      <c r="AE149" s="16">
        <v>7.09942633359662E-4</v>
      </c>
      <c r="AF149" s="16">
        <v>4.0725637075653002E-4</v>
      </c>
      <c r="AG149" s="16">
        <v>6.1103530765934495E-4</v>
      </c>
      <c r="AI149" s="12"/>
      <c r="AJ149">
        <f>IF($AG149&lt;AI$21,1,0)</f>
        <v>0</v>
      </c>
      <c r="AK149">
        <f>IF($AG149&gt;AI$22,1,0)</f>
        <v>1</v>
      </c>
      <c r="AL149">
        <f t="shared" si="12"/>
        <v>0</v>
      </c>
      <c r="AM149">
        <f>IF(F150+H150&gt;0,0,1)</f>
        <v>1</v>
      </c>
      <c r="AN149">
        <f t="shared" si="13"/>
        <v>0</v>
      </c>
      <c r="AO149" s="29">
        <f>AN149*D149</f>
        <v>0</v>
      </c>
      <c r="AP149" s="29">
        <f>-AN149*$E149</f>
        <v>0</v>
      </c>
      <c r="AQ149" s="29">
        <f t="shared" si="14"/>
        <v>0</v>
      </c>
      <c r="AR149" s="30">
        <f t="shared" si="15"/>
        <v>2.8220064066241741E-2</v>
      </c>
      <c r="AT149" s="12"/>
      <c r="AU149">
        <f>IF($AG149&gt;AT$21,1,0)</f>
        <v>0</v>
      </c>
      <c r="AV149">
        <f>IF($AG149&lt;AT$22,1,0)</f>
        <v>1</v>
      </c>
      <c r="AW149">
        <f t="shared" si="16"/>
        <v>0</v>
      </c>
      <c r="AX149">
        <f>IF(F150+H150&gt;0,0,1)</f>
        <v>1</v>
      </c>
      <c r="AY149">
        <f t="shared" si="17"/>
        <v>0</v>
      </c>
      <c r="AZ149" s="29">
        <f>-AY149*D149</f>
        <v>0</v>
      </c>
      <c r="BA149" s="29">
        <f>AY149*$E149</f>
        <v>0</v>
      </c>
      <c r="BB149" s="29">
        <f t="shared" si="18"/>
        <v>0</v>
      </c>
      <c r="BC149" s="30">
        <f t="shared" si="19"/>
        <v>1.0399144315200178E-2</v>
      </c>
      <c r="BE149" s="30">
        <f t="shared" si="20"/>
        <v>0</v>
      </c>
      <c r="BF149" s="30">
        <f t="shared" si="21"/>
        <v>3.8619208381441922E-2</v>
      </c>
      <c r="BH149" s="30"/>
    </row>
    <row r="150" spans="1:60" x14ac:dyDescent="0.25">
      <c r="A150" s="1">
        <v>46240</v>
      </c>
      <c r="B150" s="34">
        <v>524.61</v>
      </c>
      <c r="C150" s="34">
        <v>786000</v>
      </c>
      <c r="D150" s="16">
        <v>1.1040305342390399E-2</v>
      </c>
      <c r="E150" s="16">
        <v>1.06210901130161E-2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524.61</v>
      </c>
      <c r="M150" s="34">
        <v>786000</v>
      </c>
      <c r="N150" s="35">
        <v>1498.2558472007699</v>
      </c>
      <c r="O150" s="35">
        <v>1499.9485700668399</v>
      </c>
      <c r="P150" s="35">
        <v>1499.4085846753901</v>
      </c>
      <c r="Q150" s="35">
        <v>1499.2607949344399</v>
      </c>
      <c r="R150" s="34">
        <v>786888.01934276801</v>
      </c>
      <c r="S150" s="34">
        <v>786734.44003059703</v>
      </c>
      <c r="T150" s="34">
        <v>786459.39654554694</v>
      </c>
      <c r="U150" s="16">
        <v>1.1291578627338099E-3</v>
      </c>
      <c r="V150" s="16">
        <v>9.3396579268670396E-4</v>
      </c>
      <c r="W150" s="16">
        <v>5.8430323813352201E-4</v>
      </c>
      <c r="X150" s="35">
        <v>1498.2558472007699</v>
      </c>
      <c r="Y150" s="35">
        <v>1499.9485700668399</v>
      </c>
      <c r="Z150" s="35">
        <v>1499.4085846753901</v>
      </c>
      <c r="AA150" s="35">
        <v>1499.2607949344399</v>
      </c>
      <c r="AB150" s="34">
        <v>786888.01934276801</v>
      </c>
      <c r="AC150" s="34">
        <v>786734.44003059703</v>
      </c>
      <c r="AD150" s="34">
        <v>786459.39654554694</v>
      </c>
      <c r="AE150" s="16">
        <v>1.1291578627338099E-3</v>
      </c>
      <c r="AF150" s="16">
        <v>9.3396579268670396E-4</v>
      </c>
      <c r="AG150" s="16">
        <v>5.8430323813352201E-4</v>
      </c>
      <c r="AI150" s="12"/>
      <c r="AJ150">
        <f>IF($AG150&lt;AI$21,1,0)</f>
        <v>0</v>
      </c>
      <c r="AK150">
        <f>IF($AG150&gt;AI$22,1,0)</f>
        <v>1</v>
      </c>
      <c r="AL150">
        <f t="shared" si="12"/>
        <v>0</v>
      </c>
      <c r="AM150">
        <f>IF(F151+H151&gt;0,0,1)</f>
        <v>1</v>
      </c>
      <c r="AN150">
        <f t="shared" si="13"/>
        <v>0</v>
      </c>
      <c r="AO150" s="29">
        <f>AN150*D150</f>
        <v>0</v>
      </c>
      <c r="AP150" s="29">
        <f>-AN150*$E150</f>
        <v>0</v>
      </c>
      <c r="AQ150" s="29">
        <f t="shared" si="14"/>
        <v>0</v>
      </c>
      <c r="AR150" s="30">
        <f t="shared" si="15"/>
        <v>2.8220064066241741E-2</v>
      </c>
      <c r="AT150" s="12"/>
      <c r="AU150">
        <f>IF($AG150&gt;AT$21,1,0)</f>
        <v>0</v>
      </c>
      <c r="AV150">
        <f>IF($AG150&lt;AT$22,1,0)</f>
        <v>1</v>
      </c>
      <c r="AW150">
        <f t="shared" si="16"/>
        <v>0</v>
      </c>
      <c r="AX150">
        <f>IF(F151+H151&gt;0,0,1)</f>
        <v>1</v>
      </c>
      <c r="AY150">
        <f t="shared" si="17"/>
        <v>0</v>
      </c>
      <c r="AZ150" s="29">
        <f>-AY150*D150</f>
        <v>0</v>
      </c>
      <c r="BA150" s="29">
        <f>AY150*$E150</f>
        <v>0</v>
      </c>
      <c r="BB150" s="29">
        <f t="shared" si="18"/>
        <v>0</v>
      </c>
      <c r="BC150" s="30">
        <f t="shared" si="19"/>
        <v>1.0399144315200178E-2</v>
      </c>
      <c r="BE150" s="30">
        <f t="shared" si="20"/>
        <v>0</v>
      </c>
      <c r="BF150" s="30">
        <f t="shared" si="21"/>
        <v>3.8619208381441922E-2</v>
      </c>
      <c r="BH150" s="30"/>
    </row>
    <row r="151" spans="1:60" x14ac:dyDescent="0.25">
      <c r="A151" s="1">
        <v>46241</v>
      </c>
      <c r="B151" s="34">
        <v>521.79999999999995</v>
      </c>
      <c r="C151" s="34">
        <v>780086</v>
      </c>
      <c r="D151" s="16">
        <v>-5.3707566910498796E-3</v>
      </c>
      <c r="E151" s="16">
        <v>-7.5526224131039496E-3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521.79999999999995</v>
      </c>
      <c r="M151" s="34">
        <v>780086</v>
      </c>
      <c r="N151" s="35">
        <v>1494.9904177845899</v>
      </c>
      <c r="O151" s="35">
        <v>1499.9485700668399</v>
      </c>
      <c r="P151" s="35">
        <v>1498.3812893960801</v>
      </c>
      <c r="Q151" s="35">
        <v>1499.0928541558901</v>
      </c>
      <c r="R151" s="34">
        <v>782673.16386087995</v>
      </c>
      <c r="S151" s="34">
        <v>782391.39948361902</v>
      </c>
      <c r="T151" s="34">
        <v>782314.28279679501</v>
      </c>
      <c r="U151" s="16">
        <v>3.3110235847879201E-3</v>
      </c>
      <c r="V151" s="16">
        <v>2.9509561640508001E-3</v>
      </c>
      <c r="W151" s="16">
        <v>2.8523859501631199E-3</v>
      </c>
      <c r="X151" s="35">
        <v>1494.9904177845899</v>
      </c>
      <c r="Y151" s="35">
        <v>1499.9485700668399</v>
      </c>
      <c r="Z151" s="35">
        <v>1498.3812893960801</v>
      </c>
      <c r="AA151" s="35">
        <v>1499.0928541558901</v>
      </c>
      <c r="AB151" s="34">
        <v>782673.16386087995</v>
      </c>
      <c r="AC151" s="34">
        <v>782391.39948361902</v>
      </c>
      <c r="AD151" s="34">
        <v>782314.28279679501</v>
      </c>
      <c r="AE151" s="16">
        <v>3.3110235847879201E-3</v>
      </c>
      <c r="AF151" s="16">
        <v>2.9509561640508001E-3</v>
      </c>
      <c r="AG151" s="16">
        <v>2.8523859501631199E-3</v>
      </c>
      <c r="AI151" s="12"/>
      <c r="AJ151">
        <f>IF($AG151&lt;AI$21,1,0)</f>
        <v>0</v>
      </c>
      <c r="AK151">
        <f>IF($AG151&gt;AI$22,1,0)</f>
        <v>1</v>
      </c>
      <c r="AL151">
        <f t="shared" ref="AL151:AL167" si="22">AN151</f>
        <v>0</v>
      </c>
      <c r="AM151">
        <f>IF(F152+H152&gt;0,0,1)</f>
        <v>1</v>
      </c>
      <c r="AN151">
        <f t="shared" ref="AN151:AN167" si="23">IF(AJ150,1,IF(AK150,0,AL150))*AM150</f>
        <v>0</v>
      </c>
      <c r="AO151" s="29">
        <f>AN151*D151</f>
        <v>0</v>
      </c>
      <c r="AP151" s="29">
        <f>-AN151*$E151</f>
        <v>0</v>
      </c>
      <c r="AQ151" s="29">
        <f t="shared" ref="AQ151:AQ167" si="24">AO151+AP151</f>
        <v>0</v>
      </c>
      <c r="AR151" s="30">
        <f t="shared" ref="AR151:AR167" si="25">AR150+AQ151</f>
        <v>2.8220064066241741E-2</v>
      </c>
      <c r="AT151" s="12"/>
      <c r="AU151">
        <f>IF($AG151&gt;AT$21,1,0)</f>
        <v>0</v>
      </c>
      <c r="AV151">
        <f>IF($AG151&lt;AT$22,1,0)</f>
        <v>0</v>
      </c>
      <c r="AW151">
        <f t="shared" ref="AW151:AW167" si="26">AY151</f>
        <v>0</v>
      </c>
      <c r="AX151">
        <f>IF(F152+H152&gt;0,0,1)</f>
        <v>1</v>
      </c>
      <c r="AY151">
        <f t="shared" ref="AY151:AY167" si="27">IF(AU150,1,IF(AV150,0,AW150))*AX150</f>
        <v>0</v>
      </c>
      <c r="AZ151" s="29">
        <f>-AY151*D151</f>
        <v>0</v>
      </c>
      <c r="BA151" s="29">
        <f>AY151*$E151</f>
        <v>0</v>
      </c>
      <c r="BB151" s="29">
        <f t="shared" ref="BB151:BB167" si="28">AZ151+BA151</f>
        <v>0</v>
      </c>
      <c r="BC151" s="30">
        <f t="shared" ref="BC151:BC167" si="29">BC150+BB151</f>
        <v>1.0399144315200178E-2</v>
      </c>
      <c r="BE151" s="30">
        <f t="shared" ref="BE151:BE176" si="30">AQ151+BB151</f>
        <v>0</v>
      </c>
      <c r="BF151" s="30">
        <f t="shared" ref="BF151:BF176" si="31">BF150+BE151</f>
        <v>3.8619208381441922E-2</v>
      </c>
      <c r="BH151" s="30"/>
    </row>
    <row r="152" spans="1:60" x14ac:dyDescent="0.25">
      <c r="A152" s="1">
        <v>46244</v>
      </c>
      <c r="B152" s="34">
        <v>529.41999999999996</v>
      </c>
      <c r="C152" s="34">
        <v>793815.19</v>
      </c>
      <c r="D152" s="16">
        <v>1.44976949940813E-2</v>
      </c>
      <c r="E152" s="16">
        <v>1.7446505952244399E-2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529.41999999999996</v>
      </c>
      <c r="M152" s="34">
        <v>793815.19</v>
      </c>
      <c r="N152" s="35">
        <v>1499.4053681387099</v>
      </c>
      <c r="O152" s="35">
        <v>1499.9485700668399</v>
      </c>
      <c r="P152" s="35">
        <v>1498.3077468020899</v>
      </c>
      <c r="Q152" s="35">
        <v>1499.1058920103501</v>
      </c>
      <c r="R152" s="34">
        <v>794102.77196478995</v>
      </c>
      <c r="S152" s="34">
        <v>793273.02223207499</v>
      </c>
      <c r="T152" s="34">
        <v>793649.73884721496</v>
      </c>
      <c r="U152" s="16">
        <v>3.6221262662509198E-4</v>
      </c>
      <c r="V152" s="16">
        <v>-6.8322325732860499E-4</v>
      </c>
      <c r="W152" s="16">
        <v>-2.0844700298887201E-4</v>
      </c>
      <c r="X152" s="35">
        <v>1499.4053681387099</v>
      </c>
      <c r="Y152" s="35">
        <v>1499.9485700668399</v>
      </c>
      <c r="Z152" s="35">
        <v>1498.3077468020899</v>
      </c>
      <c r="AA152" s="35">
        <v>1499.1058920103501</v>
      </c>
      <c r="AB152" s="34">
        <v>794102.77196478995</v>
      </c>
      <c r="AC152" s="34">
        <v>793273.02223207499</v>
      </c>
      <c r="AD152" s="34">
        <v>793649.73884721496</v>
      </c>
      <c r="AE152" s="16">
        <v>3.6221262662509198E-4</v>
      </c>
      <c r="AF152" s="16">
        <v>-6.8322325732860499E-4</v>
      </c>
      <c r="AG152" s="16">
        <v>-2.0844700298887201E-4</v>
      </c>
      <c r="AI152" s="12"/>
      <c r="AJ152">
        <f>IF($AG152&lt;AI$21,1,0)</f>
        <v>0</v>
      </c>
      <c r="AK152">
        <f>IF($AG152&gt;AI$22,1,0)</f>
        <v>1</v>
      </c>
      <c r="AL152">
        <f t="shared" si="22"/>
        <v>0</v>
      </c>
      <c r="AM152">
        <f>IF(F153+H153&gt;0,0,1)</f>
        <v>1</v>
      </c>
      <c r="AN152">
        <f t="shared" si="23"/>
        <v>0</v>
      </c>
      <c r="AO152" s="29">
        <f>AN152*D152</f>
        <v>0</v>
      </c>
      <c r="AP152" s="29">
        <f>-AN152*$E152</f>
        <v>0</v>
      </c>
      <c r="AQ152" s="29">
        <f t="shared" si="24"/>
        <v>0</v>
      </c>
      <c r="AR152" s="30">
        <f t="shared" si="25"/>
        <v>2.8220064066241741E-2</v>
      </c>
      <c r="AT152" s="12"/>
      <c r="AU152">
        <f>IF($AG152&gt;AT$21,1,0)</f>
        <v>0</v>
      </c>
      <c r="AV152">
        <f>IF($AG152&lt;AT$22,1,0)</f>
        <v>1</v>
      </c>
      <c r="AW152">
        <f t="shared" si="26"/>
        <v>0</v>
      </c>
      <c r="AX152">
        <f>IF(F153+H153&gt;0,0,1)</f>
        <v>1</v>
      </c>
      <c r="AY152">
        <f t="shared" si="27"/>
        <v>0</v>
      </c>
      <c r="AZ152" s="29">
        <f>-AY152*D152</f>
        <v>0</v>
      </c>
      <c r="BA152" s="29">
        <f>AY152*$E152</f>
        <v>0</v>
      </c>
      <c r="BB152" s="29">
        <f t="shared" si="28"/>
        <v>0</v>
      </c>
      <c r="BC152" s="30">
        <f t="shared" si="29"/>
        <v>1.0399144315200178E-2</v>
      </c>
      <c r="BE152" s="30">
        <f t="shared" si="30"/>
        <v>0</v>
      </c>
      <c r="BF152" s="30">
        <f t="shared" si="31"/>
        <v>3.8619208381441922E-2</v>
      </c>
      <c r="BH152" s="30"/>
    </row>
    <row r="153" spans="1:60" x14ac:dyDescent="0.25">
      <c r="A153" s="1">
        <v>46245</v>
      </c>
      <c r="B153" s="34">
        <v>516.38</v>
      </c>
      <c r="C153" s="34">
        <v>775000</v>
      </c>
      <c r="D153" s="16">
        <v>-2.4939139141159802E-2</v>
      </c>
      <c r="E153" s="16">
        <v>-2.39876466149999E-2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516.38</v>
      </c>
      <c r="M153" s="34">
        <v>775000</v>
      </c>
      <c r="N153" s="35">
        <v>1500.83272008985</v>
      </c>
      <c r="O153" s="35">
        <v>1499.9485700668399</v>
      </c>
      <c r="P153" s="35">
        <v>1498.49738725576</v>
      </c>
      <c r="Q153" s="35">
        <v>1499.1103657838801</v>
      </c>
      <c r="R153" s="34">
        <v>774543.44261111796</v>
      </c>
      <c r="S153" s="34">
        <v>773696.15429366601</v>
      </c>
      <c r="T153" s="34">
        <v>774108.30051630503</v>
      </c>
      <c r="U153" s="16">
        <v>-5.8927989953475696E-4</v>
      </c>
      <c r="V153" s="16">
        <v>-1.6837983496907499E-3</v>
      </c>
      <c r="W153" s="16">
        <v>-1.15124240426867E-3</v>
      </c>
      <c r="X153" s="35">
        <v>1500.83272008985</v>
      </c>
      <c r="Y153" s="35">
        <v>1499.9485700668399</v>
      </c>
      <c r="Z153" s="35">
        <v>1498.49738725576</v>
      </c>
      <c r="AA153" s="35">
        <v>1499.1103657838801</v>
      </c>
      <c r="AB153" s="34">
        <v>774543.44261111796</v>
      </c>
      <c r="AC153" s="34">
        <v>773696.15429366601</v>
      </c>
      <c r="AD153" s="34">
        <v>774108.30051630503</v>
      </c>
      <c r="AE153" s="16">
        <v>-5.8927989953475696E-4</v>
      </c>
      <c r="AF153" s="16">
        <v>-1.6837983496907499E-3</v>
      </c>
      <c r="AG153" s="16">
        <v>-1.15124240426867E-3</v>
      </c>
      <c r="AI153" s="12"/>
      <c r="AJ153">
        <f>IF($AG153&lt;AI$21,1,0)</f>
        <v>0</v>
      </c>
      <c r="AK153">
        <f>IF($AG153&gt;AI$22,1,0)</f>
        <v>0</v>
      </c>
      <c r="AL153">
        <f t="shared" si="22"/>
        <v>0</v>
      </c>
      <c r="AM153">
        <f>IF(F154+H154&gt;0,0,1)</f>
        <v>1</v>
      </c>
      <c r="AN153">
        <f t="shared" si="23"/>
        <v>0</v>
      </c>
      <c r="AO153" s="29">
        <f>AN153*D153</f>
        <v>0</v>
      </c>
      <c r="AP153" s="29">
        <f>-AN153*$E153</f>
        <v>0</v>
      </c>
      <c r="AQ153" s="29">
        <f t="shared" si="24"/>
        <v>0</v>
      </c>
      <c r="AR153" s="30">
        <f t="shared" si="25"/>
        <v>2.8220064066241741E-2</v>
      </c>
      <c r="AT153" s="12"/>
      <c r="AU153">
        <f>IF($AG153&gt;AT$21,1,0)</f>
        <v>0</v>
      </c>
      <c r="AV153">
        <f>IF($AG153&lt;AT$22,1,0)</f>
        <v>1</v>
      </c>
      <c r="AW153">
        <f t="shared" si="26"/>
        <v>0</v>
      </c>
      <c r="AX153">
        <f>IF(F154+H154&gt;0,0,1)</f>
        <v>1</v>
      </c>
      <c r="AY153">
        <f t="shared" si="27"/>
        <v>0</v>
      </c>
      <c r="AZ153" s="29">
        <f>-AY153*D153</f>
        <v>0</v>
      </c>
      <c r="BA153" s="29">
        <f>AY153*$E153</f>
        <v>0</v>
      </c>
      <c r="BB153" s="29">
        <f t="shared" si="28"/>
        <v>0</v>
      </c>
      <c r="BC153" s="30">
        <f t="shared" si="29"/>
        <v>1.0399144315200178E-2</v>
      </c>
      <c r="BE153" s="30">
        <f t="shared" si="30"/>
        <v>0</v>
      </c>
      <c r="BF153" s="30">
        <f t="shared" si="31"/>
        <v>3.8619208381441922E-2</v>
      </c>
      <c r="BH153" s="30"/>
    </row>
    <row r="154" spans="1:60" x14ac:dyDescent="0.25">
      <c r="A154" s="1">
        <v>46246</v>
      </c>
      <c r="B154" s="34">
        <v>510</v>
      </c>
      <c r="C154" s="34">
        <v>764000</v>
      </c>
      <c r="D154" s="16">
        <v>-1.24322028371782E-2</v>
      </c>
      <c r="E154" s="16">
        <v>-1.4295240186826401E-2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510</v>
      </c>
      <c r="M154" s="34">
        <v>764000</v>
      </c>
      <c r="N154" s="35">
        <v>1498.0392156862699</v>
      </c>
      <c r="O154" s="35">
        <v>1499.9485700668399</v>
      </c>
      <c r="P154" s="35">
        <v>1498.41384712276</v>
      </c>
      <c r="Q154" s="35">
        <v>1498.9452640106099</v>
      </c>
      <c r="R154" s="34">
        <v>764973.77073409106</v>
      </c>
      <c r="S154" s="34">
        <v>764233.66750043805</v>
      </c>
      <c r="T154" s="34">
        <v>764546.28654978296</v>
      </c>
      <c r="U154" s="16">
        <v>1.2737574501134801E-3</v>
      </c>
      <c r="V154" s="16">
        <v>3.05800751845967E-4</v>
      </c>
      <c r="W154" s="16">
        <v>7.1477923547245796E-4</v>
      </c>
      <c r="X154" s="35">
        <v>1498.0392156862699</v>
      </c>
      <c r="Y154" s="35">
        <v>1499.9485700668399</v>
      </c>
      <c r="Z154" s="35">
        <v>1498.41384712276</v>
      </c>
      <c r="AA154" s="35">
        <v>1498.9452640106099</v>
      </c>
      <c r="AB154" s="34">
        <v>764973.77073409106</v>
      </c>
      <c r="AC154" s="34">
        <v>764233.66750043805</v>
      </c>
      <c r="AD154" s="34">
        <v>764546.28654978296</v>
      </c>
      <c r="AE154" s="16">
        <v>1.2737574501134801E-3</v>
      </c>
      <c r="AF154" s="16">
        <v>3.05800751845967E-4</v>
      </c>
      <c r="AG154" s="16">
        <v>7.1477923547245796E-4</v>
      </c>
      <c r="AI154" s="12"/>
      <c r="AJ154">
        <f>IF($AG154&lt;AI$21,1,0)</f>
        <v>0</v>
      </c>
      <c r="AK154">
        <f>IF($AG154&gt;AI$22,1,0)</f>
        <v>1</v>
      </c>
      <c r="AL154">
        <f t="shared" si="22"/>
        <v>0</v>
      </c>
      <c r="AM154">
        <f>IF(F155+H155&gt;0,0,1)</f>
        <v>1</v>
      </c>
      <c r="AN154">
        <f t="shared" si="23"/>
        <v>0</v>
      </c>
      <c r="AO154" s="29">
        <f>AN154*D154</f>
        <v>0</v>
      </c>
      <c r="AP154" s="29">
        <f>-AN154*$E154</f>
        <v>0</v>
      </c>
      <c r="AQ154" s="29">
        <f t="shared" si="24"/>
        <v>0</v>
      </c>
      <c r="AR154" s="30">
        <f t="shared" si="25"/>
        <v>2.8220064066241741E-2</v>
      </c>
      <c r="AT154" s="12"/>
      <c r="AU154">
        <f>IF($AG154&gt;AT$21,1,0)</f>
        <v>0</v>
      </c>
      <c r="AV154">
        <f>IF($AG154&lt;AT$22,1,0)</f>
        <v>1</v>
      </c>
      <c r="AW154">
        <f t="shared" si="26"/>
        <v>0</v>
      </c>
      <c r="AX154">
        <f>IF(F155+H155&gt;0,0,1)</f>
        <v>1</v>
      </c>
      <c r="AY154">
        <f t="shared" si="27"/>
        <v>0</v>
      </c>
      <c r="AZ154" s="29">
        <f>-AY154*D154</f>
        <v>0</v>
      </c>
      <c r="BA154" s="29">
        <f>AY154*$E154</f>
        <v>0</v>
      </c>
      <c r="BB154" s="29">
        <f t="shared" si="28"/>
        <v>0</v>
      </c>
      <c r="BC154" s="30">
        <f t="shared" si="29"/>
        <v>1.0399144315200178E-2</v>
      </c>
      <c r="BE154" s="30">
        <f t="shared" si="30"/>
        <v>0</v>
      </c>
      <c r="BF154" s="30">
        <f t="shared" si="31"/>
        <v>3.8619208381441922E-2</v>
      </c>
      <c r="BH154" s="30"/>
    </row>
    <row r="155" spans="1:60" x14ac:dyDescent="0.25">
      <c r="A155" s="1">
        <v>46247</v>
      </c>
      <c r="B155" s="34">
        <v>506.93</v>
      </c>
      <c r="C155" s="34">
        <v>762000</v>
      </c>
      <c r="D155" s="16">
        <v>-6.0377987204663598E-3</v>
      </c>
      <c r="E155" s="16">
        <v>-2.62123347987419E-3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506.93</v>
      </c>
      <c r="M155" s="34">
        <v>762000</v>
      </c>
      <c r="N155" s="35">
        <v>1503.1661176099201</v>
      </c>
      <c r="O155" s="35">
        <v>1499.9485700668399</v>
      </c>
      <c r="P155" s="35">
        <v>1498.63824416079</v>
      </c>
      <c r="Q155" s="35">
        <v>1499.2232162246501</v>
      </c>
      <c r="R155" s="34">
        <v>760368.92862398596</v>
      </c>
      <c r="S155" s="34">
        <v>759590.93152194098</v>
      </c>
      <c r="T155" s="34">
        <v>759860.32268489897</v>
      </c>
      <c r="U155" s="16">
        <v>-2.1428077904786002E-3</v>
      </c>
      <c r="V155" s="16">
        <v>-3.1665153111675101E-3</v>
      </c>
      <c r="W155" s="16">
        <v>-2.8119252378969901E-3</v>
      </c>
      <c r="X155" s="35">
        <v>1503.1661176099201</v>
      </c>
      <c r="Y155" s="35">
        <v>1499.9485700668399</v>
      </c>
      <c r="Z155" s="35">
        <v>1498.63824416079</v>
      </c>
      <c r="AA155" s="35">
        <v>1499.2232162246501</v>
      </c>
      <c r="AB155" s="34">
        <v>760368.92862398596</v>
      </c>
      <c r="AC155" s="34">
        <v>759590.93152194098</v>
      </c>
      <c r="AD155" s="34">
        <v>759860.32268489897</v>
      </c>
      <c r="AE155" s="16">
        <v>-2.1428077904786002E-3</v>
      </c>
      <c r="AF155" s="16">
        <v>-3.1665153111675101E-3</v>
      </c>
      <c r="AG155" s="16">
        <v>-2.8119252378969901E-3</v>
      </c>
      <c r="AI155" s="12"/>
      <c r="AJ155">
        <f>IF($AG155&lt;AI$21,1,0)</f>
        <v>0</v>
      </c>
      <c r="AK155">
        <f>IF($AG155&gt;AI$22,1,0)</f>
        <v>0</v>
      </c>
      <c r="AL155">
        <f t="shared" si="22"/>
        <v>0</v>
      </c>
      <c r="AM155">
        <f>IF(F156+H156&gt;0,0,1)</f>
        <v>1</v>
      </c>
      <c r="AN155">
        <f t="shared" si="23"/>
        <v>0</v>
      </c>
      <c r="AO155" s="29">
        <f>AN155*D155</f>
        <v>0</v>
      </c>
      <c r="AP155" s="29">
        <f>-AN155*$E155</f>
        <v>0</v>
      </c>
      <c r="AQ155" s="29">
        <f t="shared" si="24"/>
        <v>0</v>
      </c>
      <c r="AR155" s="30">
        <f t="shared" si="25"/>
        <v>2.8220064066241741E-2</v>
      </c>
      <c r="AT155" s="12"/>
      <c r="AU155">
        <f>IF($AG155&gt;AT$21,1,0)</f>
        <v>0</v>
      </c>
      <c r="AV155">
        <f>IF($AG155&lt;AT$22,1,0)</f>
        <v>1</v>
      </c>
      <c r="AW155">
        <f t="shared" si="26"/>
        <v>0</v>
      </c>
      <c r="AX155">
        <f>IF(F156+H156&gt;0,0,1)</f>
        <v>1</v>
      </c>
      <c r="AY155">
        <f t="shared" si="27"/>
        <v>0</v>
      </c>
      <c r="AZ155" s="29">
        <f>-AY155*D155</f>
        <v>0</v>
      </c>
      <c r="BA155" s="29">
        <f>AY155*$E155</f>
        <v>0</v>
      </c>
      <c r="BB155" s="29">
        <f t="shared" si="28"/>
        <v>0</v>
      </c>
      <c r="BC155" s="30">
        <f t="shared" si="29"/>
        <v>1.0399144315200178E-2</v>
      </c>
      <c r="BE155" s="30">
        <f t="shared" si="30"/>
        <v>0</v>
      </c>
      <c r="BF155" s="30">
        <f t="shared" si="31"/>
        <v>3.8619208381441922E-2</v>
      </c>
      <c r="BH155" s="30"/>
    </row>
    <row r="156" spans="1:60" x14ac:dyDescent="0.25">
      <c r="A156" s="1">
        <v>46248</v>
      </c>
      <c r="B156" s="34">
        <v>504.03</v>
      </c>
      <c r="C156" s="34">
        <v>755570</v>
      </c>
      <c r="D156" s="16">
        <v>-5.7371368884844001E-3</v>
      </c>
      <c r="E156" s="16">
        <v>-8.4741243943486002E-3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504.03</v>
      </c>
      <c r="M156" s="34">
        <v>755570</v>
      </c>
      <c r="N156" s="35">
        <v>1499.05759577802</v>
      </c>
      <c r="O156" s="35">
        <v>1499.9485700668399</v>
      </c>
      <c r="P156" s="35">
        <v>1498.68280031364</v>
      </c>
      <c r="Q156" s="35">
        <v>1499.21327187064</v>
      </c>
      <c r="R156" s="34">
        <v>756019.07777079195</v>
      </c>
      <c r="S156" s="34">
        <v>755358.63420436298</v>
      </c>
      <c r="T156" s="34">
        <v>755653.47767371405</v>
      </c>
      <c r="U156" s="16">
        <v>5.9417971538573895E-4</v>
      </c>
      <c r="V156" s="16">
        <v>-2.7978263463949602E-4</v>
      </c>
      <c r="W156" s="16">
        <v>1.10476941408434E-4</v>
      </c>
      <c r="X156" s="35">
        <v>1499.05759577802</v>
      </c>
      <c r="Y156" s="35">
        <v>1499.9485700668399</v>
      </c>
      <c r="Z156" s="35">
        <v>1498.68280031364</v>
      </c>
      <c r="AA156" s="35">
        <v>1499.21327187064</v>
      </c>
      <c r="AB156" s="34">
        <v>756019.07777079195</v>
      </c>
      <c r="AC156" s="34">
        <v>755358.63420436298</v>
      </c>
      <c r="AD156" s="34">
        <v>755653.47767371405</v>
      </c>
      <c r="AE156" s="16">
        <v>5.9417971538573895E-4</v>
      </c>
      <c r="AF156" s="16">
        <v>-2.7978263463949602E-4</v>
      </c>
      <c r="AG156" s="16">
        <v>1.10476941408434E-4</v>
      </c>
      <c r="AI156" s="12"/>
      <c r="AJ156">
        <f>IF($AG156&lt;AI$21,1,0)</f>
        <v>0</v>
      </c>
      <c r="AK156">
        <f>IF($AG156&gt;AI$22,1,0)</f>
        <v>1</v>
      </c>
      <c r="AL156">
        <f t="shared" si="22"/>
        <v>0</v>
      </c>
      <c r="AM156">
        <f>IF(F157+H157&gt;0,0,1)</f>
        <v>1</v>
      </c>
      <c r="AN156">
        <f t="shared" si="23"/>
        <v>0</v>
      </c>
      <c r="AO156" s="29">
        <f>AN156*D156</f>
        <v>0</v>
      </c>
      <c r="AP156" s="29">
        <f>-AN156*$E156</f>
        <v>0</v>
      </c>
      <c r="AQ156" s="29">
        <f t="shared" si="24"/>
        <v>0</v>
      </c>
      <c r="AR156" s="30">
        <f t="shared" si="25"/>
        <v>2.8220064066241741E-2</v>
      </c>
      <c r="AT156" s="12"/>
      <c r="AU156">
        <f>IF($AG156&gt;AT$21,1,0)</f>
        <v>0</v>
      </c>
      <c r="AV156">
        <f>IF($AG156&lt;AT$22,1,0)</f>
        <v>1</v>
      </c>
      <c r="AW156">
        <f t="shared" si="26"/>
        <v>0</v>
      </c>
      <c r="AX156">
        <f>IF(F157+H157&gt;0,0,1)</f>
        <v>1</v>
      </c>
      <c r="AY156">
        <f t="shared" si="27"/>
        <v>0</v>
      </c>
      <c r="AZ156" s="29">
        <f>-AY156*D156</f>
        <v>0</v>
      </c>
      <c r="BA156" s="29">
        <f>AY156*$E156</f>
        <v>0</v>
      </c>
      <c r="BB156" s="29">
        <f t="shared" si="28"/>
        <v>0</v>
      </c>
      <c r="BC156" s="30">
        <f t="shared" si="29"/>
        <v>1.0399144315200178E-2</v>
      </c>
      <c r="BE156" s="30">
        <f t="shared" si="30"/>
        <v>0</v>
      </c>
      <c r="BF156" s="30">
        <f t="shared" si="31"/>
        <v>3.8619208381441922E-2</v>
      </c>
      <c r="BH156" s="30"/>
    </row>
    <row r="157" spans="1:60" x14ac:dyDescent="0.25">
      <c r="A157" s="1">
        <v>46251</v>
      </c>
      <c r="B157" s="34">
        <v>498.23</v>
      </c>
      <c r="C157" s="34">
        <v>747400</v>
      </c>
      <c r="D157" s="16">
        <v>-1.15739723138887E-2</v>
      </c>
      <c r="E157" s="16">
        <v>-1.0871914240914099E-2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498.23</v>
      </c>
      <c r="M157" s="34">
        <v>747400</v>
      </c>
      <c r="N157" s="35">
        <v>1500.1103907833699</v>
      </c>
      <c r="O157" s="35">
        <v>1499.9485700668399</v>
      </c>
      <c r="P157" s="35">
        <v>1498.9783621343099</v>
      </c>
      <c r="Q157" s="35">
        <v>1499.2874936998801</v>
      </c>
      <c r="R157" s="34">
        <v>747319.37606440496</v>
      </c>
      <c r="S157" s="34">
        <v>746688.73160026595</v>
      </c>
      <c r="T157" s="34">
        <v>746953.02844410902</v>
      </c>
      <c r="U157" s="16">
        <v>-1.07878357588969E-4</v>
      </c>
      <c r="V157" s="16">
        <v>-9.5211005668104196E-4</v>
      </c>
      <c r="W157" s="16">
        <v>-5.9821415784942799E-4</v>
      </c>
      <c r="X157" s="35">
        <v>1500.1103907833699</v>
      </c>
      <c r="Y157" s="35">
        <v>1499.9485700668399</v>
      </c>
      <c r="Z157" s="35">
        <v>1498.9783621343099</v>
      </c>
      <c r="AA157" s="35">
        <v>1499.2874936998801</v>
      </c>
      <c r="AB157" s="34">
        <v>747319.37606440496</v>
      </c>
      <c r="AC157" s="34">
        <v>746688.73160026595</v>
      </c>
      <c r="AD157" s="34">
        <v>746953.02844410902</v>
      </c>
      <c r="AE157" s="16">
        <v>-1.07878357588969E-4</v>
      </c>
      <c r="AF157" s="16">
        <v>-9.5211005668104196E-4</v>
      </c>
      <c r="AG157" s="16">
        <v>-5.9821415784942799E-4</v>
      </c>
      <c r="AI157" s="12"/>
      <c r="AJ157">
        <f>IF($AG157&lt;AI$21,1,0)</f>
        <v>0</v>
      </c>
      <c r="AK157">
        <f>IF($AG157&gt;AI$22,1,0)</f>
        <v>1</v>
      </c>
      <c r="AL157">
        <f t="shared" si="22"/>
        <v>0</v>
      </c>
      <c r="AM157">
        <f>IF(F158+H158&gt;0,0,1)</f>
        <v>1</v>
      </c>
      <c r="AN157">
        <f t="shared" si="23"/>
        <v>0</v>
      </c>
      <c r="AO157" s="29">
        <f>AN157*D157</f>
        <v>0</v>
      </c>
      <c r="AP157" s="29">
        <f>-AN157*$E157</f>
        <v>0</v>
      </c>
      <c r="AQ157" s="29">
        <f t="shared" si="24"/>
        <v>0</v>
      </c>
      <c r="AR157" s="30">
        <f t="shared" si="25"/>
        <v>2.8220064066241741E-2</v>
      </c>
      <c r="AT157" s="12"/>
      <c r="AU157">
        <f>IF($AG157&gt;AT$21,1,0)</f>
        <v>0</v>
      </c>
      <c r="AV157">
        <f>IF($AG157&lt;AT$22,1,0)</f>
        <v>1</v>
      </c>
      <c r="AW157">
        <f t="shared" si="26"/>
        <v>0</v>
      </c>
      <c r="AX157">
        <f>IF(F158+H158&gt;0,0,1)</f>
        <v>1</v>
      </c>
      <c r="AY157">
        <f t="shared" si="27"/>
        <v>0</v>
      </c>
      <c r="AZ157" s="29">
        <f>-AY157*D157</f>
        <v>0</v>
      </c>
      <c r="BA157" s="29">
        <f>AY157*$E157</f>
        <v>0</v>
      </c>
      <c r="BB157" s="29">
        <f t="shared" si="28"/>
        <v>0</v>
      </c>
      <c r="BC157" s="30">
        <f t="shared" si="29"/>
        <v>1.0399144315200178E-2</v>
      </c>
      <c r="BE157" s="30">
        <f t="shared" si="30"/>
        <v>0</v>
      </c>
      <c r="BF157" s="30">
        <f t="shared" si="31"/>
        <v>3.8619208381441922E-2</v>
      </c>
      <c r="BH157" s="30"/>
    </row>
    <row r="158" spans="1:60" x14ac:dyDescent="0.25">
      <c r="A158" s="1">
        <v>46252</v>
      </c>
      <c r="B158" s="34">
        <v>502.96</v>
      </c>
      <c r="C158" s="34">
        <v>753600</v>
      </c>
      <c r="D158" s="16">
        <v>9.4488262792735197E-3</v>
      </c>
      <c r="E158" s="16">
        <v>8.2612062107698305E-3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502.96</v>
      </c>
      <c r="M158" s="34">
        <v>753600</v>
      </c>
      <c r="N158" s="35">
        <v>1498.3298870685501</v>
      </c>
      <c r="O158" s="35">
        <v>1499.9485700668399</v>
      </c>
      <c r="P158" s="35">
        <v>1499.1071630680699</v>
      </c>
      <c r="Q158" s="35">
        <v>1499.3008940065399</v>
      </c>
      <c r="R158" s="34">
        <v>754414.13280082098</v>
      </c>
      <c r="S158" s="34">
        <v>753926.15701907303</v>
      </c>
      <c r="T158" s="34">
        <v>754081.63783129398</v>
      </c>
      <c r="U158" s="16">
        <v>1.0797417109148599E-3</v>
      </c>
      <c r="V158" s="16">
        <v>4.3270496189184299E-4</v>
      </c>
      <c r="W158" s="16">
        <v>6.3891187050773603E-4</v>
      </c>
      <c r="X158" s="35">
        <v>1498.3298870685501</v>
      </c>
      <c r="Y158" s="35">
        <v>1499.9485700668399</v>
      </c>
      <c r="Z158" s="35">
        <v>1499.1071630680699</v>
      </c>
      <c r="AA158" s="35">
        <v>1499.3008940065399</v>
      </c>
      <c r="AB158" s="34">
        <v>754414.13280082098</v>
      </c>
      <c r="AC158" s="34">
        <v>753926.15701907303</v>
      </c>
      <c r="AD158" s="34">
        <v>754081.63783129398</v>
      </c>
      <c r="AE158" s="16">
        <v>1.0797417109148599E-3</v>
      </c>
      <c r="AF158" s="16">
        <v>4.3270496189184299E-4</v>
      </c>
      <c r="AG158" s="16">
        <v>6.3891187050773603E-4</v>
      </c>
      <c r="AI158" s="12"/>
      <c r="AJ158">
        <f>IF($AG158&lt;AI$21,1,0)</f>
        <v>0</v>
      </c>
      <c r="AK158">
        <f>IF($AG158&gt;AI$22,1,0)</f>
        <v>1</v>
      </c>
      <c r="AL158">
        <f t="shared" si="22"/>
        <v>0</v>
      </c>
      <c r="AM158">
        <f>IF(F159+H159&gt;0,0,1)</f>
        <v>1</v>
      </c>
      <c r="AN158">
        <f t="shared" si="23"/>
        <v>0</v>
      </c>
      <c r="AO158" s="29">
        <f>AN158*D158</f>
        <v>0</v>
      </c>
      <c r="AP158" s="29">
        <f>-AN158*$E158</f>
        <v>0</v>
      </c>
      <c r="AQ158" s="29">
        <f t="shared" si="24"/>
        <v>0</v>
      </c>
      <c r="AR158" s="30">
        <f t="shared" si="25"/>
        <v>2.8220064066241741E-2</v>
      </c>
      <c r="AT158" s="12"/>
      <c r="AU158">
        <f>IF($AG158&gt;AT$21,1,0)</f>
        <v>0</v>
      </c>
      <c r="AV158">
        <f>IF($AG158&lt;AT$22,1,0)</f>
        <v>1</v>
      </c>
      <c r="AW158">
        <f t="shared" si="26"/>
        <v>0</v>
      </c>
      <c r="AX158">
        <f>IF(F159+H159&gt;0,0,1)</f>
        <v>1</v>
      </c>
      <c r="AY158">
        <f t="shared" si="27"/>
        <v>0</v>
      </c>
      <c r="AZ158" s="29">
        <f>-AY158*D158</f>
        <v>0</v>
      </c>
      <c r="BA158" s="29">
        <f>AY158*$E158</f>
        <v>0</v>
      </c>
      <c r="BB158" s="29">
        <f t="shared" si="28"/>
        <v>0</v>
      </c>
      <c r="BC158" s="30">
        <f t="shared" si="29"/>
        <v>1.0399144315200178E-2</v>
      </c>
      <c r="BE158" s="30">
        <f t="shared" si="30"/>
        <v>0</v>
      </c>
      <c r="BF158" s="30">
        <f t="shared" si="31"/>
        <v>3.8619208381441922E-2</v>
      </c>
      <c r="BH158" s="30"/>
    </row>
    <row r="159" spans="1:60" x14ac:dyDescent="0.25">
      <c r="A159" s="1">
        <v>46253</v>
      </c>
      <c r="B159" s="34">
        <v>499.62</v>
      </c>
      <c r="C159" s="34">
        <v>750170</v>
      </c>
      <c r="D159" s="16">
        <v>-6.6628345990226504E-3</v>
      </c>
      <c r="E159" s="16">
        <v>-4.5618757501381599E-3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499.62</v>
      </c>
      <c r="M159" s="34">
        <v>750170</v>
      </c>
      <c r="N159" s="35">
        <v>1501.4811256554899</v>
      </c>
      <c r="O159" s="35">
        <v>1499.9485700668399</v>
      </c>
      <c r="P159" s="35">
        <v>1499.3668685795501</v>
      </c>
      <c r="Q159" s="35">
        <v>1499.5113445760801</v>
      </c>
      <c r="R159" s="34">
        <v>749404.30457679799</v>
      </c>
      <c r="S159" s="34">
        <v>748983.92081207002</v>
      </c>
      <c r="T159" s="34">
        <v>749080.71266355005</v>
      </c>
      <c r="U159" s="16">
        <v>-1.02121713796958E-3</v>
      </c>
      <c r="V159" s="16">
        <v>-1.5823317658539E-3</v>
      </c>
      <c r="W159" s="16">
        <v>-1.45310923506096E-3</v>
      </c>
      <c r="X159" s="35">
        <v>1501.4811256554899</v>
      </c>
      <c r="Y159" s="35">
        <v>1499.9485700668399</v>
      </c>
      <c r="Z159" s="35">
        <v>1499.3668685795501</v>
      </c>
      <c r="AA159" s="35">
        <v>1499.5113445760801</v>
      </c>
      <c r="AB159" s="34">
        <v>749404.30457679799</v>
      </c>
      <c r="AC159" s="34">
        <v>748983.92081207002</v>
      </c>
      <c r="AD159" s="34">
        <v>749080.71266355005</v>
      </c>
      <c r="AE159" s="16">
        <v>-1.02121713796958E-3</v>
      </c>
      <c r="AF159" s="16">
        <v>-1.5823317658539E-3</v>
      </c>
      <c r="AG159" s="16">
        <v>-1.45310923506096E-3</v>
      </c>
      <c r="AI159" s="12"/>
      <c r="AJ159">
        <f>IF($AG159&lt;AI$21,1,0)</f>
        <v>0</v>
      </c>
      <c r="AK159">
        <f>IF($AG159&gt;AI$22,1,0)</f>
        <v>0</v>
      </c>
      <c r="AL159">
        <f t="shared" si="22"/>
        <v>0</v>
      </c>
      <c r="AM159">
        <f>IF(F160+H160&gt;0,0,1)</f>
        <v>1</v>
      </c>
      <c r="AN159">
        <f t="shared" si="23"/>
        <v>0</v>
      </c>
      <c r="AO159" s="29">
        <f>AN159*D159</f>
        <v>0</v>
      </c>
      <c r="AP159" s="29">
        <f>-AN159*$E159</f>
        <v>0</v>
      </c>
      <c r="AQ159" s="29">
        <f t="shared" si="24"/>
        <v>0</v>
      </c>
      <c r="AR159" s="30">
        <f t="shared" si="25"/>
        <v>2.8220064066241741E-2</v>
      </c>
      <c r="AT159" s="12"/>
      <c r="AU159">
        <f>IF($AG159&gt;AT$21,1,0)</f>
        <v>0</v>
      </c>
      <c r="AV159">
        <f>IF($AG159&lt;AT$22,1,0)</f>
        <v>1</v>
      </c>
      <c r="AW159">
        <f t="shared" si="26"/>
        <v>0</v>
      </c>
      <c r="AX159">
        <f>IF(F160+H160&gt;0,0,1)</f>
        <v>1</v>
      </c>
      <c r="AY159">
        <f t="shared" si="27"/>
        <v>0</v>
      </c>
      <c r="AZ159" s="29">
        <f>-AY159*D159</f>
        <v>0</v>
      </c>
      <c r="BA159" s="29">
        <f>AY159*$E159</f>
        <v>0</v>
      </c>
      <c r="BB159" s="29">
        <f t="shared" si="28"/>
        <v>0</v>
      </c>
      <c r="BC159" s="30">
        <f t="shared" si="29"/>
        <v>1.0399144315200178E-2</v>
      </c>
      <c r="BE159" s="30">
        <f t="shared" si="30"/>
        <v>0</v>
      </c>
      <c r="BF159" s="30">
        <f t="shared" si="31"/>
        <v>3.8619208381441922E-2</v>
      </c>
      <c r="BH159" s="30"/>
    </row>
    <row r="160" spans="1:60" x14ac:dyDescent="0.25">
      <c r="A160" s="1">
        <v>46254</v>
      </c>
      <c r="B160" s="34">
        <v>496.86</v>
      </c>
      <c r="C160" s="34">
        <v>744600</v>
      </c>
      <c r="D160" s="16">
        <v>-5.53951320211924E-3</v>
      </c>
      <c r="E160" s="16">
        <v>-7.4526860733985702E-3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496.86</v>
      </c>
      <c r="M160" s="34">
        <v>744600</v>
      </c>
      <c r="N160" s="35">
        <v>1498.61127883105</v>
      </c>
      <c r="O160" s="35">
        <v>1499.9485700668399</v>
      </c>
      <c r="P160" s="35">
        <v>1499.4024117425799</v>
      </c>
      <c r="Q160" s="35">
        <v>1499.4054982089899</v>
      </c>
      <c r="R160" s="34">
        <v>745264.44652341295</v>
      </c>
      <c r="S160" s="34">
        <v>744975.42232243996</v>
      </c>
      <c r="T160" s="34">
        <v>745047.20666607295</v>
      </c>
      <c r="U160" s="16">
        <v>8.9195573330974804E-4</v>
      </c>
      <c r="V160" s="16">
        <v>5.0406622553403595E-4</v>
      </c>
      <c r="W160" s="16">
        <v>6.0041958593616204E-4</v>
      </c>
      <c r="X160" s="35">
        <v>1498.61127883105</v>
      </c>
      <c r="Y160" s="35">
        <v>1499.9485700668399</v>
      </c>
      <c r="Z160" s="35">
        <v>1499.4024117425799</v>
      </c>
      <c r="AA160" s="35">
        <v>1499.4054982089899</v>
      </c>
      <c r="AB160" s="34">
        <v>745264.44652341295</v>
      </c>
      <c r="AC160" s="34">
        <v>744975.42232243996</v>
      </c>
      <c r="AD160" s="34">
        <v>745047.20666607295</v>
      </c>
      <c r="AE160" s="16">
        <v>8.9195573330974804E-4</v>
      </c>
      <c r="AF160" s="16">
        <v>5.0406622553403595E-4</v>
      </c>
      <c r="AG160" s="16">
        <v>6.0041958593616204E-4</v>
      </c>
      <c r="AI160" s="12"/>
      <c r="AJ160">
        <f>IF($AG160&lt;AI$21,1,0)</f>
        <v>0</v>
      </c>
      <c r="AK160">
        <f>IF($AG160&gt;AI$22,1,0)</f>
        <v>1</v>
      </c>
      <c r="AL160">
        <f t="shared" si="22"/>
        <v>0</v>
      </c>
      <c r="AM160">
        <f>IF(F161+H161&gt;0,0,1)</f>
        <v>1</v>
      </c>
      <c r="AN160">
        <f t="shared" si="23"/>
        <v>0</v>
      </c>
      <c r="AO160" s="29">
        <f>AN160*D160</f>
        <v>0</v>
      </c>
      <c r="AP160" s="29">
        <f>-AN160*$E160</f>
        <v>0</v>
      </c>
      <c r="AQ160" s="29">
        <f t="shared" si="24"/>
        <v>0</v>
      </c>
      <c r="AR160" s="30">
        <f t="shared" si="25"/>
        <v>2.8220064066241741E-2</v>
      </c>
      <c r="AT160" s="12"/>
      <c r="AU160">
        <f>IF($AG160&gt;AT$21,1,0)</f>
        <v>0</v>
      </c>
      <c r="AV160">
        <f>IF($AG160&lt;AT$22,1,0)</f>
        <v>1</v>
      </c>
      <c r="AW160">
        <f t="shared" si="26"/>
        <v>0</v>
      </c>
      <c r="AX160">
        <f>IF(F161+H161&gt;0,0,1)</f>
        <v>1</v>
      </c>
      <c r="AY160">
        <f t="shared" si="27"/>
        <v>0</v>
      </c>
      <c r="AZ160" s="29">
        <f>-AY160*D160</f>
        <v>0</v>
      </c>
      <c r="BA160" s="29">
        <f>AY160*$E160</f>
        <v>0</v>
      </c>
      <c r="BB160" s="29">
        <f t="shared" si="28"/>
        <v>0</v>
      </c>
      <c r="BC160" s="30">
        <f t="shared" si="29"/>
        <v>1.0399144315200178E-2</v>
      </c>
      <c r="BE160" s="30">
        <f t="shared" si="30"/>
        <v>0</v>
      </c>
      <c r="BF160" s="30">
        <f t="shared" si="31"/>
        <v>3.8619208381441922E-2</v>
      </c>
      <c r="BH160" s="30"/>
    </row>
    <row r="161" spans="1:60" x14ac:dyDescent="0.25">
      <c r="A161" s="1">
        <v>46255</v>
      </c>
      <c r="B161" s="34">
        <v>495.82</v>
      </c>
      <c r="C161" s="34">
        <v>743500</v>
      </c>
      <c r="D161" s="16">
        <v>-2.0953386398540499E-3</v>
      </c>
      <c r="E161" s="16">
        <v>-1.47839553840673E-3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495.82</v>
      </c>
      <c r="M161" s="34">
        <v>743500</v>
      </c>
      <c r="N161" s="35">
        <v>1499.5361219797501</v>
      </c>
      <c r="O161" s="35">
        <v>1499.9485700668399</v>
      </c>
      <c r="P161" s="35">
        <v>1499.8569821620999</v>
      </c>
      <c r="Q161" s="35">
        <v>1499.1191357790899</v>
      </c>
      <c r="R161" s="34">
        <v>743704.50001054397</v>
      </c>
      <c r="S161" s="34">
        <v>743433.70379020995</v>
      </c>
      <c r="T161" s="34">
        <v>743435.23412198096</v>
      </c>
      <c r="U161" s="16">
        <v>2.7501263186245601E-4</v>
      </c>
      <c r="V161" s="16">
        <v>-8.9171709088178098E-5</v>
      </c>
      <c r="W161" s="16">
        <v>-8.7113246862965702E-5</v>
      </c>
      <c r="X161" s="35">
        <v>1499.5361219797501</v>
      </c>
      <c r="Y161" s="35">
        <v>1499.9485700668399</v>
      </c>
      <c r="Z161" s="35">
        <v>1499.8569821620999</v>
      </c>
      <c r="AA161" s="35">
        <v>1499.1191357790899</v>
      </c>
      <c r="AB161" s="34">
        <v>743704.50001054397</v>
      </c>
      <c r="AC161" s="34">
        <v>743433.70379020995</v>
      </c>
      <c r="AD161" s="34">
        <v>743435.23412198096</v>
      </c>
      <c r="AE161" s="16">
        <v>2.7501263186245601E-4</v>
      </c>
      <c r="AF161" s="16">
        <v>-8.9171709088178098E-5</v>
      </c>
      <c r="AG161" s="16">
        <v>-8.7113246862965702E-5</v>
      </c>
      <c r="AI161" s="12"/>
      <c r="AJ161">
        <f>IF($AG161&lt;AI$21,1,0)</f>
        <v>0</v>
      </c>
      <c r="AK161">
        <f>IF($AG161&gt;AI$22,1,0)</f>
        <v>1</v>
      </c>
      <c r="AL161">
        <f t="shared" si="22"/>
        <v>0</v>
      </c>
      <c r="AM161">
        <f>IF(F162+H162&gt;0,0,1)</f>
        <v>1</v>
      </c>
      <c r="AN161">
        <f t="shared" si="23"/>
        <v>0</v>
      </c>
      <c r="AO161" s="29">
        <f>AN161*D161</f>
        <v>0</v>
      </c>
      <c r="AP161" s="29">
        <f>-AN161*$E161</f>
        <v>0</v>
      </c>
      <c r="AQ161" s="29">
        <f t="shared" si="24"/>
        <v>0</v>
      </c>
      <c r="AR161" s="30">
        <f t="shared" si="25"/>
        <v>2.8220064066241741E-2</v>
      </c>
      <c r="AT161" s="12"/>
      <c r="AU161">
        <f>IF($AG161&gt;AT$21,1,0)</f>
        <v>0</v>
      </c>
      <c r="AV161">
        <f>IF($AG161&lt;AT$22,1,0)</f>
        <v>1</v>
      </c>
      <c r="AW161">
        <f t="shared" si="26"/>
        <v>0</v>
      </c>
      <c r="AX161">
        <f>IF(F162+H162&gt;0,0,1)</f>
        <v>1</v>
      </c>
      <c r="AY161">
        <f t="shared" si="27"/>
        <v>0</v>
      </c>
      <c r="AZ161" s="29">
        <f>-AY161*D161</f>
        <v>0</v>
      </c>
      <c r="BA161" s="29">
        <f>AY161*$E161</f>
        <v>0</v>
      </c>
      <c r="BB161" s="29">
        <f t="shared" si="28"/>
        <v>0</v>
      </c>
      <c r="BC161" s="30">
        <f t="shared" si="29"/>
        <v>1.0399144315200178E-2</v>
      </c>
      <c r="BE161" s="30">
        <f t="shared" si="30"/>
        <v>0</v>
      </c>
      <c r="BF161" s="30">
        <f t="shared" si="31"/>
        <v>3.8619208381441922E-2</v>
      </c>
      <c r="BH161" s="30"/>
    </row>
    <row r="162" spans="1:60" x14ac:dyDescent="0.25">
      <c r="A162" s="1">
        <v>46258</v>
      </c>
      <c r="B162" s="34">
        <v>504.32</v>
      </c>
      <c r="C162" s="34">
        <v>755631</v>
      </c>
      <c r="D162" s="16">
        <v>1.6998029595649802E-2</v>
      </c>
      <c r="E162" s="16">
        <v>1.6184395883972299E-2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504.32</v>
      </c>
      <c r="M162" s="34">
        <v>755631</v>
      </c>
      <c r="N162" s="35">
        <v>1498.3165450507599</v>
      </c>
      <c r="O162" s="35">
        <v>1499.9485700668399</v>
      </c>
      <c r="P162" s="35">
        <v>1499.7480998532999</v>
      </c>
      <c r="Q162" s="35">
        <v>1499.0279233276999</v>
      </c>
      <c r="R162" s="34">
        <v>756454.06285611202</v>
      </c>
      <c r="S162" s="34">
        <v>756407.87324399198</v>
      </c>
      <c r="T162" s="34">
        <v>756035.76255611295</v>
      </c>
      <c r="U162" s="16">
        <v>1.08864634354001E-3</v>
      </c>
      <c r="V162" s="16">
        <v>1.0275837825331599E-3</v>
      </c>
      <c r="W162" s="16">
        <v>5.3551824490948496E-4</v>
      </c>
      <c r="X162" s="35">
        <v>1498.3165450507599</v>
      </c>
      <c r="Y162" s="35">
        <v>1499.9485700668399</v>
      </c>
      <c r="Z162" s="35">
        <v>1499.7480998532999</v>
      </c>
      <c r="AA162" s="35">
        <v>1499.0279233276999</v>
      </c>
      <c r="AB162" s="34">
        <v>756454.06285611202</v>
      </c>
      <c r="AC162" s="34">
        <v>756407.87324399198</v>
      </c>
      <c r="AD162" s="34">
        <v>756035.76255611295</v>
      </c>
      <c r="AE162" s="16">
        <v>1.08864634354001E-3</v>
      </c>
      <c r="AF162" s="16">
        <v>1.0275837825331599E-3</v>
      </c>
      <c r="AG162" s="16">
        <v>5.3551824490948496E-4</v>
      </c>
      <c r="AI162" s="12"/>
      <c r="AJ162">
        <f>IF($AG162&lt;AI$21,1,0)</f>
        <v>0</v>
      </c>
      <c r="AK162">
        <f>IF($AG162&gt;AI$22,1,0)</f>
        <v>1</v>
      </c>
      <c r="AL162">
        <f t="shared" si="22"/>
        <v>0</v>
      </c>
      <c r="AM162">
        <f>IF(F163+H163&gt;0,0,1)</f>
        <v>1</v>
      </c>
      <c r="AN162">
        <f t="shared" si="23"/>
        <v>0</v>
      </c>
      <c r="AO162" s="29">
        <f>AN162*D162</f>
        <v>0</v>
      </c>
      <c r="AP162" s="29">
        <f>-AN162*$E162</f>
        <v>0</v>
      </c>
      <c r="AQ162" s="29">
        <f t="shared" si="24"/>
        <v>0</v>
      </c>
      <c r="AR162" s="30">
        <f t="shared" si="25"/>
        <v>2.8220064066241741E-2</v>
      </c>
      <c r="AT162" s="12"/>
      <c r="AU162">
        <f>IF($AG162&gt;AT$21,1,0)</f>
        <v>0</v>
      </c>
      <c r="AV162">
        <f>IF($AG162&lt;AT$22,1,0)</f>
        <v>1</v>
      </c>
      <c r="AW162">
        <f t="shared" si="26"/>
        <v>0</v>
      </c>
      <c r="AX162">
        <f>IF(F163+H163&gt;0,0,1)</f>
        <v>1</v>
      </c>
      <c r="AY162">
        <f t="shared" si="27"/>
        <v>0</v>
      </c>
      <c r="AZ162" s="29">
        <f>-AY162*D162</f>
        <v>0</v>
      </c>
      <c r="BA162" s="29">
        <f>AY162*$E162</f>
        <v>0</v>
      </c>
      <c r="BB162" s="29">
        <f t="shared" si="28"/>
        <v>0</v>
      </c>
      <c r="BC162" s="30">
        <f t="shared" si="29"/>
        <v>1.0399144315200178E-2</v>
      </c>
      <c r="BE162" s="30">
        <f t="shared" si="30"/>
        <v>0</v>
      </c>
      <c r="BF162" s="30">
        <f t="shared" si="31"/>
        <v>3.8619208381441922E-2</v>
      </c>
      <c r="BH162" s="30"/>
    </row>
    <row r="163" spans="1:60" x14ac:dyDescent="0.25">
      <c r="A163" s="1">
        <v>46259</v>
      </c>
      <c r="B163" s="34">
        <v>504.32</v>
      </c>
      <c r="C163" s="34">
        <v>755365</v>
      </c>
      <c r="D163" s="16">
        <v>0</v>
      </c>
      <c r="E163" s="16">
        <v>-3.5208564780829602E-4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504.32</v>
      </c>
      <c r="M163" s="34">
        <v>755365</v>
      </c>
      <c r="N163" s="35">
        <v>1497.78910215736</v>
      </c>
      <c r="O163" s="35">
        <v>1499.9485700668399</v>
      </c>
      <c r="P163" s="35">
        <v>1499.44373806005</v>
      </c>
      <c r="Q163" s="35">
        <v>1498.9705626579</v>
      </c>
      <c r="R163" s="34">
        <v>756454.06285611202</v>
      </c>
      <c r="S163" s="34">
        <v>756352.96171802003</v>
      </c>
      <c r="T163" s="34">
        <v>755989.76229262701</v>
      </c>
      <c r="U163" s="16">
        <v>1.4407319913484901E-3</v>
      </c>
      <c r="V163" s="16">
        <v>1.30707166772492E-3</v>
      </c>
      <c r="W163" s="16">
        <v>8.2675801049686805E-4</v>
      </c>
      <c r="X163" s="35">
        <v>1497.78910215736</v>
      </c>
      <c r="Y163" s="35">
        <v>1499.9485700668399</v>
      </c>
      <c r="Z163" s="35">
        <v>1499.44373806005</v>
      </c>
      <c r="AA163" s="35">
        <v>1498.9705626579</v>
      </c>
      <c r="AB163" s="34">
        <v>756454.06285611202</v>
      </c>
      <c r="AC163" s="34">
        <v>756352.96171802003</v>
      </c>
      <c r="AD163" s="34">
        <v>755989.76229262701</v>
      </c>
      <c r="AE163" s="16">
        <v>1.4407319913484901E-3</v>
      </c>
      <c r="AF163" s="16">
        <v>1.30707166772492E-3</v>
      </c>
      <c r="AG163" s="16">
        <v>8.2675801049686805E-4</v>
      </c>
      <c r="AI163" s="12"/>
      <c r="AJ163">
        <f>IF($AG163&lt;AI$21,1,0)</f>
        <v>0</v>
      </c>
      <c r="AK163">
        <f>IF($AG163&gt;AI$22,1,0)</f>
        <v>1</v>
      </c>
      <c r="AL163">
        <f t="shared" si="22"/>
        <v>0</v>
      </c>
      <c r="AM163">
        <f>IF(F164+H164&gt;0,0,1)</f>
        <v>1</v>
      </c>
      <c r="AN163">
        <f t="shared" si="23"/>
        <v>0</v>
      </c>
      <c r="AO163" s="29">
        <f>AN163*D163</f>
        <v>0</v>
      </c>
      <c r="AP163" s="29">
        <f>-AN163*$E163</f>
        <v>0</v>
      </c>
      <c r="AQ163" s="29">
        <f t="shared" si="24"/>
        <v>0</v>
      </c>
      <c r="AR163" s="30">
        <f t="shared" si="25"/>
        <v>2.8220064066241741E-2</v>
      </c>
      <c r="AT163" s="12"/>
      <c r="AU163">
        <f>IF($AG163&gt;AT$21,1,0)</f>
        <v>0</v>
      </c>
      <c r="AV163">
        <f>IF($AG163&lt;AT$22,1,0)</f>
        <v>1</v>
      </c>
      <c r="AW163">
        <f t="shared" si="26"/>
        <v>0</v>
      </c>
      <c r="AX163">
        <f>IF(F164+H164&gt;0,0,1)</f>
        <v>1</v>
      </c>
      <c r="AY163">
        <f t="shared" si="27"/>
        <v>0</v>
      </c>
      <c r="AZ163" s="29">
        <f>-AY163*D163</f>
        <v>0</v>
      </c>
      <c r="BA163" s="29">
        <f>AY163*$E163</f>
        <v>0</v>
      </c>
      <c r="BB163" s="29">
        <f t="shared" si="28"/>
        <v>0</v>
      </c>
      <c r="BC163" s="30">
        <f t="shared" si="29"/>
        <v>1.0399144315200178E-2</v>
      </c>
      <c r="BE163" s="30">
        <f t="shared" si="30"/>
        <v>0</v>
      </c>
      <c r="BF163" s="30">
        <f t="shared" si="31"/>
        <v>3.8619208381441922E-2</v>
      </c>
      <c r="BH163" s="30"/>
    </row>
    <row r="164" spans="1:60" x14ac:dyDescent="0.25">
      <c r="A164" s="1">
        <v>46260</v>
      </c>
      <c r="B164" s="34">
        <v>504.91</v>
      </c>
      <c r="C164" s="34">
        <v>756927.81</v>
      </c>
      <c r="D164" s="16">
        <v>1.16920834143507E-3</v>
      </c>
      <c r="E164" s="16">
        <v>2.0668094776189602E-3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504.91</v>
      </c>
      <c r="M164" s="34">
        <v>756927.81</v>
      </c>
      <c r="N164" s="35">
        <v>1499.1341229129901</v>
      </c>
      <c r="O164" s="35">
        <v>1499.9485700668399</v>
      </c>
      <c r="P164" s="35">
        <v>1499.55322878273</v>
      </c>
      <c r="Q164" s="35">
        <v>1498.9835379527401</v>
      </c>
      <c r="R164" s="34">
        <v>757339.03251245106</v>
      </c>
      <c r="S164" s="34">
        <v>757084.13778390398</v>
      </c>
      <c r="T164" s="34">
        <v>756845.226791605</v>
      </c>
      <c r="U164" s="16">
        <v>5.43130855164502E-4</v>
      </c>
      <c r="V164" s="16">
        <v>2.0650799313527999E-4</v>
      </c>
      <c r="W164" s="16">
        <v>-1.0910910218317401E-4</v>
      </c>
      <c r="X164" s="35">
        <v>1499.1341229129901</v>
      </c>
      <c r="Y164" s="35">
        <v>1499.9485700668399</v>
      </c>
      <c r="Z164" s="35">
        <v>1499.55322878273</v>
      </c>
      <c r="AA164" s="35">
        <v>1498.9835379527401</v>
      </c>
      <c r="AB164" s="34">
        <v>757339.03251245106</v>
      </c>
      <c r="AC164" s="34">
        <v>757084.13778390398</v>
      </c>
      <c r="AD164" s="34">
        <v>756845.226791605</v>
      </c>
      <c r="AE164" s="16">
        <v>5.43130855164502E-4</v>
      </c>
      <c r="AF164" s="16">
        <v>2.0650799313527999E-4</v>
      </c>
      <c r="AG164" s="16">
        <v>-1.0910910218317401E-4</v>
      </c>
      <c r="AI164" s="12"/>
      <c r="AJ164">
        <f>IF($AG164&lt;AI$21,1,0)</f>
        <v>0</v>
      </c>
      <c r="AK164">
        <f>IF($AG164&gt;AI$22,1,0)</f>
        <v>1</v>
      </c>
      <c r="AL164">
        <f t="shared" si="22"/>
        <v>0</v>
      </c>
      <c r="AM164">
        <f>IF(F165+H165&gt;0,0,1)</f>
        <v>1</v>
      </c>
      <c r="AN164">
        <f t="shared" si="23"/>
        <v>0</v>
      </c>
      <c r="AO164" s="29">
        <f>AN164*D164</f>
        <v>0</v>
      </c>
      <c r="AP164" s="29">
        <f>-AN164*$E164</f>
        <v>0</v>
      </c>
      <c r="AQ164" s="29">
        <f t="shared" si="24"/>
        <v>0</v>
      </c>
      <c r="AR164" s="30">
        <f t="shared" si="25"/>
        <v>2.8220064066241741E-2</v>
      </c>
      <c r="AT164" s="12"/>
      <c r="AU164">
        <f>IF($AG164&gt;AT$21,1,0)</f>
        <v>0</v>
      </c>
      <c r="AV164">
        <f>IF($AG164&lt;AT$22,1,0)</f>
        <v>1</v>
      </c>
      <c r="AW164">
        <f t="shared" si="26"/>
        <v>0</v>
      </c>
      <c r="AX164">
        <f>IF(F165+H165&gt;0,0,1)</f>
        <v>1</v>
      </c>
      <c r="AY164">
        <f t="shared" si="27"/>
        <v>0</v>
      </c>
      <c r="AZ164" s="29">
        <f>-AY164*D164</f>
        <v>0</v>
      </c>
      <c r="BA164" s="29">
        <f>AY164*$E164</f>
        <v>0</v>
      </c>
      <c r="BB164" s="29">
        <f t="shared" si="28"/>
        <v>0</v>
      </c>
      <c r="BC164" s="30">
        <f t="shared" si="29"/>
        <v>1.0399144315200178E-2</v>
      </c>
      <c r="BE164" s="30">
        <f t="shared" si="30"/>
        <v>0</v>
      </c>
      <c r="BF164" s="30">
        <f t="shared" si="31"/>
        <v>3.8619208381441922E-2</v>
      </c>
      <c r="BH164" s="30"/>
    </row>
    <row r="165" spans="1:60" x14ac:dyDescent="0.25">
      <c r="A165" s="1">
        <v>46261</v>
      </c>
      <c r="B165" s="34">
        <v>503.7</v>
      </c>
      <c r="C165" s="34">
        <v>755943.13</v>
      </c>
      <c r="D165" s="16">
        <v>-2.3993428192898101E-3</v>
      </c>
      <c r="E165" s="16">
        <v>-1.30173713171682E-3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503.7</v>
      </c>
      <c r="M165" s="34">
        <v>755943.13</v>
      </c>
      <c r="N165" s="35">
        <v>1500.78048441532</v>
      </c>
      <c r="O165" s="35">
        <v>1499.9485700668399</v>
      </c>
      <c r="P165" s="35">
        <v>1499.3146654632701</v>
      </c>
      <c r="Q165" s="35">
        <v>1498.9764548120299</v>
      </c>
      <c r="R165" s="34">
        <v>755524.09474266996</v>
      </c>
      <c r="S165" s="34">
        <v>755324.96133786102</v>
      </c>
      <c r="T165" s="34">
        <v>755038.00806679798</v>
      </c>
      <c r="U165" s="16">
        <v>-5.5447483240858098E-4</v>
      </c>
      <c r="V165" s="16">
        <v>-8.1807946605608401E-4</v>
      </c>
      <c r="W165" s="16">
        <v>-1.1980586900286699E-3</v>
      </c>
      <c r="X165" s="35">
        <v>1500.78048441532</v>
      </c>
      <c r="Y165" s="35">
        <v>1499.9485700668399</v>
      </c>
      <c r="Z165" s="35">
        <v>1499.3146654632701</v>
      </c>
      <c r="AA165" s="35">
        <v>1498.9764548120299</v>
      </c>
      <c r="AB165" s="34">
        <v>755524.09474266996</v>
      </c>
      <c r="AC165" s="34">
        <v>755324.96133786102</v>
      </c>
      <c r="AD165" s="34">
        <v>755038.00806679798</v>
      </c>
      <c r="AE165" s="16">
        <v>-5.5447483240858098E-4</v>
      </c>
      <c r="AF165" s="16">
        <v>-8.1807946605608401E-4</v>
      </c>
      <c r="AG165" s="16">
        <v>-1.1980586900286699E-3</v>
      </c>
      <c r="AI165" s="12"/>
      <c r="AJ165">
        <f>IF($AG165&lt;AI$21,1,0)</f>
        <v>0</v>
      </c>
      <c r="AK165">
        <f>IF($AG165&gt;AI$22,1,0)</f>
        <v>0</v>
      </c>
      <c r="AL165">
        <f t="shared" si="22"/>
        <v>0</v>
      </c>
      <c r="AM165">
        <f>IF(F166+H166&gt;0,0,1)</f>
        <v>1</v>
      </c>
      <c r="AN165">
        <f t="shared" si="23"/>
        <v>0</v>
      </c>
      <c r="AO165" s="29">
        <f>AN165*D165</f>
        <v>0</v>
      </c>
      <c r="AP165" s="29">
        <f>-AN165*$E165</f>
        <v>0</v>
      </c>
      <c r="AQ165" s="29">
        <f t="shared" si="24"/>
        <v>0</v>
      </c>
      <c r="AR165" s="30">
        <f t="shared" si="25"/>
        <v>2.8220064066241741E-2</v>
      </c>
      <c r="AT165" s="12"/>
      <c r="AU165">
        <f>IF($AG165&gt;AT$21,1,0)</f>
        <v>0</v>
      </c>
      <c r="AV165">
        <f>IF($AG165&lt;AT$22,1,0)</f>
        <v>1</v>
      </c>
      <c r="AW165">
        <f t="shared" si="26"/>
        <v>0</v>
      </c>
      <c r="AX165">
        <f>IF(F166+H166&gt;0,0,1)</f>
        <v>1</v>
      </c>
      <c r="AY165">
        <f t="shared" si="27"/>
        <v>0</v>
      </c>
      <c r="AZ165" s="29">
        <f>-AY165*D165</f>
        <v>0</v>
      </c>
      <c r="BA165" s="29">
        <f>AY165*$E165</f>
        <v>0</v>
      </c>
      <c r="BB165" s="29">
        <f t="shared" si="28"/>
        <v>0</v>
      </c>
      <c r="BC165" s="30">
        <f t="shared" si="29"/>
        <v>1.0399144315200178E-2</v>
      </c>
      <c r="BE165" s="30">
        <f t="shared" si="30"/>
        <v>0</v>
      </c>
      <c r="BF165" s="30">
        <f t="shared" si="31"/>
        <v>3.8619208381441922E-2</v>
      </c>
      <c r="BH165" s="30"/>
    </row>
    <row r="166" spans="1:60" x14ac:dyDescent="0.25">
      <c r="A166" s="1">
        <v>46262</v>
      </c>
      <c r="B166" s="34">
        <v>505</v>
      </c>
      <c r="C166" s="34">
        <v>757985</v>
      </c>
      <c r="D166" s="16">
        <v>2.5775765237549099E-3</v>
      </c>
      <c r="E166" s="16">
        <v>2.6974480460867302E-3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505</v>
      </c>
      <c r="M166" s="34">
        <v>757985</v>
      </c>
      <c r="N166" s="35">
        <v>1500.9603960396</v>
      </c>
      <c r="O166" s="35">
        <v>1499.9485700668399</v>
      </c>
      <c r="P166" s="35">
        <v>1499.5049454894199</v>
      </c>
      <c r="Q166" s="35">
        <v>1499.0938729015299</v>
      </c>
      <c r="R166" s="34">
        <v>757474.02788375702</v>
      </c>
      <c r="S166" s="34">
        <v>757153.90605895105</v>
      </c>
      <c r="T166" s="34">
        <v>756983.10968007497</v>
      </c>
      <c r="U166" s="16">
        <v>-6.7434635474020405E-4</v>
      </c>
      <c r="V166" s="16">
        <v>-1.0970532418886601E-3</v>
      </c>
      <c r="W166" s="16">
        <v>-1.3226555193907601E-3</v>
      </c>
      <c r="X166" s="35">
        <v>1500.9603960396</v>
      </c>
      <c r="Y166" s="35">
        <v>1499.9485700668399</v>
      </c>
      <c r="Z166" s="35">
        <v>1499.5049454894199</v>
      </c>
      <c r="AA166" s="35">
        <v>1499.0938729015299</v>
      </c>
      <c r="AB166" s="34">
        <v>757474.02788375702</v>
      </c>
      <c r="AC166" s="34">
        <v>757153.90605895105</v>
      </c>
      <c r="AD166" s="34">
        <v>756983.10968007497</v>
      </c>
      <c r="AE166" s="16">
        <v>-6.7434635474020405E-4</v>
      </c>
      <c r="AF166" s="16">
        <v>-1.0970532418886601E-3</v>
      </c>
      <c r="AG166" s="16">
        <v>-1.3226555193907601E-3</v>
      </c>
      <c r="AI166" s="12"/>
      <c r="AJ166">
        <f>IF($AG166&lt;AI$21,1,0)</f>
        <v>0</v>
      </c>
      <c r="AK166">
        <f>IF($AG166&gt;AI$22,1,0)</f>
        <v>0</v>
      </c>
      <c r="AL166">
        <f t="shared" si="22"/>
        <v>0</v>
      </c>
      <c r="AM166">
        <f>IF(F167+H167&gt;0,0,1)</f>
        <v>1</v>
      </c>
      <c r="AN166">
        <f t="shared" si="23"/>
        <v>0</v>
      </c>
      <c r="AO166" s="29">
        <f>AN166*D166</f>
        <v>0</v>
      </c>
      <c r="AP166" s="29">
        <f>-AN166*$E166</f>
        <v>0</v>
      </c>
      <c r="AQ166" s="29">
        <f t="shared" si="24"/>
        <v>0</v>
      </c>
      <c r="AR166" s="30">
        <f t="shared" si="25"/>
        <v>2.8220064066241741E-2</v>
      </c>
      <c r="AT166" s="12"/>
      <c r="AU166">
        <f>IF($AG166&gt;AT$21,1,0)</f>
        <v>0</v>
      </c>
      <c r="AV166">
        <f>IF($AG166&lt;AT$22,1,0)</f>
        <v>1</v>
      </c>
      <c r="AW166">
        <f t="shared" si="26"/>
        <v>0</v>
      </c>
      <c r="AX166">
        <f>IF(F167+H167&gt;0,0,1)</f>
        <v>1</v>
      </c>
      <c r="AY166">
        <f t="shared" si="27"/>
        <v>0</v>
      </c>
      <c r="AZ166" s="29">
        <f>-AY166*D166</f>
        <v>0</v>
      </c>
      <c r="BA166" s="29">
        <f>AY166*$E166</f>
        <v>0</v>
      </c>
      <c r="BB166" s="29">
        <f t="shared" si="28"/>
        <v>0</v>
      </c>
      <c r="BC166" s="30">
        <f t="shared" si="29"/>
        <v>1.0399144315200178E-2</v>
      </c>
      <c r="BE166" s="30">
        <f t="shared" si="30"/>
        <v>0</v>
      </c>
      <c r="BF166" s="30">
        <f t="shared" si="31"/>
        <v>3.8619208381441922E-2</v>
      </c>
      <c r="BH166" s="30"/>
    </row>
    <row r="167" spans="1:60" x14ac:dyDescent="0.25">
      <c r="A167" s="1">
        <v>46265</v>
      </c>
      <c r="B167" s="34">
        <v>504.03</v>
      </c>
      <c r="C167" s="34">
        <v>756650</v>
      </c>
      <c r="D167" s="16">
        <v>-1.9226391659390499E-3</v>
      </c>
      <c r="E167" s="16">
        <v>-1.7628013953274E-3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504.03</v>
      </c>
      <c r="M167" s="34">
        <v>756650</v>
      </c>
      <c r="N167" s="35">
        <v>1501.2003253774501</v>
      </c>
      <c r="O167" s="35">
        <v>1499.9485700668399</v>
      </c>
      <c r="P167" s="35">
        <v>1499.6139389488301</v>
      </c>
      <c r="Q167" s="35">
        <v>1499.2961505415699</v>
      </c>
      <c r="R167" s="34">
        <v>756019.07777079195</v>
      </c>
      <c r="S167" s="34">
        <v>755795.47767503595</v>
      </c>
      <c r="T167" s="34">
        <v>755588.28475856001</v>
      </c>
      <c r="U167" s="16">
        <v>-8.3418412535193399E-4</v>
      </c>
      <c r="V167" s="16">
        <v>-1.1299877298100701E-3</v>
      </c>
      <c r="W167" s="16">
        <v>-1.40416418045557E-3</v>
      </c>
      <c r="X167" s="35">
        <v>1501.2003253774501</v>
      </c>
      <c r="Y167" s="35">
        <v>1499.9485700668399</v>
      </c>
      <c r="Z167" s="35">
        <v>1499.6139389488301</v>
      </c>
      <c r="AA167" s="35">
        <v>1499.2961505415699</v>
      </c>
      <c r="AB167" s="34">
        <v>756019.07777079195</v>
      </c>
      <c r="AC167" s="34">
        <v>755795.47767503595</v>
      </c>
      <c r="AD167" s="34">
        <v>755588.28475856001</v>
      </c>
      <c r="AE167" s="16">
        <v>-8.3418412535193399E-4</v>
      </c>
      <c r="AF167" s="16">
        <v>-1.1299877298100701E-3</v>
      </c>
      <c r="AG167" s="16">
        <v>-1.40416418045557E-3</v>
      </c>
      <c r="AI167" s="12"/>
      <c r="AJ167">
        <f>IF($AG167&lt;AI$21,1,0)</f>
        <v>0</v>
      </c>
      <c r="AK167">
        <f>IF($AG167&gt;AI$22,1,0)</f>
        <v>0</v>
      </c>
      <c r="AL167">
        <f t="shared" si="22"/>
        <v>0</v>
      </c>
      <c r="AM167">
        <f>IF(F168+H168&gt;0,0,1)</f>
        <v>1</v>
      </c>
      <c r="AN167">
        <f t="shared" si="23"/>
        <v>0</v>
      </c>
      <c r="AO167" s="29">
        <f>AN167*D167</f>
        <v>0</v>
      </c>
      <c r="AP167" s="29">
        <f>-AN167*$E167</f>
        <v>0</v>
      </c>
      <c r="AQ167" s="29">
        <f t="shared" si="24"/>
        <v>0</v>
      </c>
      <c r="AR167" s="30">
        <f t="shared" si="25"/>
        <v>2.8220064066241741E-2</v>
      </c>
      <c r="AT167" s="12"/>
      <c r="AU167">
        <f>IF($AG167&gt;AT$21,1,0)</f>
        <v>0</v>
      </c>
      <c r="AV167">
        <f>IF($AG167&lt;AT$22,1,0)</f>
        <v>1</v>
      </c>
      <c r="AW167">
        <f t="shared" si="26"/>
        <v>0</v>
      </c>
      <c r="AX167">
        <f>IF(F168+H168&gt;0,0,1)</f>
        <v>1</v>
      </c>
      <c r="AY167">
        <f t="shared" si="27"/>
        <v>0</v>
      </c>
      <c r="AZ167" s="29">
        <f>-AY167*D167</f>
        <v>0</v>
      </c>
      <c r="BA167" s="29">
        <f>AY167*$E167</f>
        <v>0</v>
      </c>
      <c r="BB167" s="29">
        <f t="shared" si="28"/>
        <v>0</v>
      </c>
      <c r="BC167" s="30">
        <f t="shared" si="29"/>
        <v>1.0399144315200178E-2</v>
      </c>
      <c r="BE167" s="30">
        <f t="shared" si="30"/>
        <v>0</v>
      </c>
      <c r="BF167" s="30">
        <f t="shared" si="31"/>
        <v>3.8619208381441922E-2</v>
      </c>
      <c r="BH167" s="30"/>
    </row>
    <row r="168" spans="1:60" x14ac:dyDescent="0.25">
      <c r="A168" s="1">
        <v>46266</v>
      </c>
      <c r="B168" s="34">
        <v>502.33</v>
      </c>
      <c r="C168" s="34">
        <v>752091</v>
      </c>
      <c r="D168" s="16">
        <v>-3.37851587311772E-3</v>
      </c>
      <c r="E168" s="16">
        <v>-6.0434678660941897E-3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502.33</v>
      </c>
      <c r="M168" s="34">
        <v>752091</v>
      </c>
      <c r="N168" s="35">
        <v>1497.20502458543</v>
      </c>
      <c r="O168" s="35">
        <v>1499.9485700668399</v>
      </c>
      <c r="P168" s="35">
        <v>1499.5014527005201</v>
      </c>
      <c r="Q168" s="35">
        <v>1499.30430788429</v>
      </c>
      <c r="R168" s="34">
        <v>753469.16520167899</v>
      </c>
      <c r="S168" s="34">
        <v>753301.06995216897</v>
      </c>
      <c r="T168" s="34">
        <v>753141.43530154799</v>
      </c>
      <c r="U168" s="16">
        <v>1.83076786762446E-3</v>
      </c>
      <c r="V168" s="16">
        <v>1.60764791703663E-3</v>
      </c>
      <c r="W168" s="16">
        <v>1.3957119810006401E-3</v>
      </c>
      <c r="X168" s="35">
        <v>1497.20502458543</v>
      </c>
      <c r="Y168" s="35">
        <v>1499.9485700668399</v>
      </c>
      <c r="Z168" s="35">
        <v>1499.5014527005201</v>
      </c>
      <c r="AA168" s="35">
        <v>1499.30430788429</v>
      </c>
      <c r="AB168" s="34">
        <v>753469.16520167899</v>
      </c>
      <c r="AC168" s="34">
        <v>753301.06995216897</v>
      </c>
      <c r="AD168" s="34">
        <v>753141.43530154799</v>
      </c>
      <c r="AE168" s="16">
        <v>1.83076786762446E-3</v>
      </c>
      <c r="AF168" s="16">
        <v>1.60764791703663E-3</v>
      </c>
      <c r="AG168" s="16">
        <v>1.3957119810006401E-3</v>
      </c>
      <c r="AI168" s="12"/>
      <c r="AJ168">
        <f>IF($AG168&lt;AI$21,1,0)</f>
        <v>0</v>
      </c>
      <c r="AK168">
        <f>IF($AG168&gt;AI$22,1,0)</f>
        <v>1</v>
      </c>
      <c r="AL168">
        <f>AN168</f>
        <v>0</v>
      </c>
      <c r="AM168">
        <f>IF(F169+H169&gt;0,0,1)</f>
        <v>1</v>
      </c>
      <c r="AN168">
        <f>IF(AJ167,1,IF(AK167,0,AL167))*AM167</f>
        <v>0</v>
      </c>
      <c r="AO168" s="29">
        <f>AN168*D168</f>
        <v>0</v>
      </c>
      <c r="AP168" s="29">
        <f>-AN168*$E168</f>
        <v>0</v>
      </c>
      <c r="AQ168" s="29">
        <f>AO168+AP168</f>
        <v>0</v>
      </c>
      <c r="AR168" s="30">
        <f>AR167+AQ168</f>
        <v>2.8220064066241741E-2</v>
      </c>
      <c r="AT168" s="12"/>
      <c r="AU168">
        <f>IF($AG168&gt;AT$21,1,0)</f>
        <v>0</v>
      </c>
      <c r="AV168">
        <f>IF($AG168&lt;AT$22,1,0)</f>
        <v>0</v>
      </c>
      <c r="AW168">
        <f>AY168</f>
        <v>0</v>
      </c>
      <c r="AX168">
        <f>IF(F169+H169&gt;0,0,1)</f>
        <v>1</v>
      </c>
      <c r="AY168">
        <f>IF(AU167,1,IF(AV167,0,AW167))*AX167</f>
        <v>0</v>
      </c>
      <c r="AZ168" s="29">
        <f>-AY168*D168</f>
        <v>0</v>
      </c>
      <c r="BA168" s="29">
        <f>AY168*$E168</f>
        <v>0</v>
      </c>
      <c r="BB168" s="29">
        <f>AZ168+BA168</f>
        <v>0</v>
      </c>
      <c r="BC168" s="30">
        <f>BC167+BB168</f>
        <v>1.0399144315200178E-2</v>
      </c>
      <c r="BE168" s="30">
        <f t="shared" si="30"/>
        <v>0</v>
      </c>
      <c r="BF168" s="30">
        <f t="shared" si="31"/>
        <v>3.8619208381441922E-2</v>
      </c>
      <c r="BH168" s="30"/>
    </row>
    <row r="169" spans="1:60" x14ac:dyDescent="0.25">
      <c r="A169" s="1">
        <v>46267</v>
      </c>
      <c r="B169" s="34">
        <v>505.24</v>
      </c>
      <c r="C169" s="34">
        <v>758500</v>
      </c>
      <c r="D169" s="16">
        <v>5.7762896694715698E-3</v>
      </c>
      <c r="E169" s="16">
        <v>8.4854715216459205E-3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505.24</v>
      </c>
      <c r="M169" s="34">
        <v>758500</v>
      </c>
      <c r="N169" s="35">
        <v>1501.2667247248801</v>
      </c>
      <c r="O169" s="35">
        <v>1499.9485700668399</v>
      </c>
      <c r="P169" s="35">
        <v>1499.4800126074599</v>
      </c>
      <c r="Q169" s="35">
        <v>1499.4234405935099</v>
      </c>
      <c r="R169" s="34">
        <v>757834.01554057305</v>
      </c>
      <c r="S169" s="34">
        <v>757608.113962412</v>
      </c>
      <c r="T169" s="34">
        <v>757508.50851546298</v>
      </c>
      <c r="U169" s="16">
        <v>-8.7841398454988604E-4</v>
      </c>
      <c r="V169" s="16">
        <v>-1.17654688640879E-3</v>
      </c>
      <c r="W169" s="16">
        <v>-1.3080291044977499E-3</v>
      </c>
      <c r="X169" s="35">
        <v>1501.2667247248801</v>
      </c>
      <c r="Y169" s="35">
        <v>1499.9485700668399</v>
      </c>
      <c r="Z169" s="35">
        <v>1499.4800126074599</v>
      </c>
      <c r="AA169" s="35">
        <v>1499.4234405935099</v>
      </c>
      <c r="AB169" s="34">
        <v>757834.01554057305</v>
      </c>
      <c r="AC169" s="34">
        <v>757608.113962412</v>
      </c>
      <c r="AD169" s="34">
        <v>757508.50851546298</v>
      </c>
      <c r="AE169" s="16">
        <v>-8.7841398454988604E-4</v>
      </c>
      <c r="AF169" s="16">
        <v>-1.17654688640879E-3</v>
      </c>
      <c r="AG169" s="16">
        <v>-1.3080291044977499E-3</v>
      </c>
      <c r="AI169" s="12"/>
      <c r="AJ169">
        <f>IF($AG169&lt;AI$21,1,0)</f>
        <v>0</v>
      </c>
      <c r="AK169">
        <f>IF($AG169&gt;AI$22,1,0)</f>
        <v>0</v>
      </c>
      <c r="AL169">
        <f>AN169</f>
        <v>0</v>
      </c>
      <c r="AM169">
        <f>IF(F170+H170&gt;0,0,1)</f>
        <v>1</v>
      </c>
      <c r="AN169">
        <f>IF(AJ168,1,IF(AK168,0,AL168))*AM168</f>
        <v>0</v>
      </c>
      <c r="AO169" s="29">
        <f>AN169*D169</f>
        <v>0</v>
      </c>
      <c r="AP169" s="29">
        <f>-AN169*$E169</f>
        <v>0</v>
      </c>
      <c r="AQ169" s="29">
        <f>AO169+AP169</f>
        <v>0</v>
      </c>
      <c r="AR169" s="30">
        <f>AR168+AQ169</f>
        <v>2.8220064066241741E-2</v>
      </c>
      <c r="AT169" s="12"/>
      <c r="AU169">
        <f>IF($AG169&gt;AT$21,1,0)</f>
        <v>0</v>
      </c>
      <c r="AV169">
        <f>IF($AG169&lt;AT$22,1,0)</f>
        <v>1</v>
      </c>
      <c r="AW169">
        <f>AY169</f>
        <v>0</v>
      </c>
      <c r="AX169">
        <f>IF(F170+H170&gt;0,0,1)</f>
        <v>1</v>
      </c>
      <c r="AY169">
        <f>IF(AU168,1,IF(AV168,0,AW168))*AX168</f>
        <v>0</v>
      </c>
      <c r="AZ169" s="29">
        <f>-AY169*D169</f>
        <v>0</v>
      </c>
      <c r="BA169" s="29">
        <f>AY169*$E169</f>
        <v>0</v>
      </c>
      <c r="BB169" s="29">
        <f>AZ169+BA169</f>
        <v>0</v>
      </c>
      <c r="BC169" s="30">
        <f>BC168+BB169</f>
        <v>1.0399144315200178E-2</v>
      </c>
      <c r="BE169" s="30">
        <f t="shared" si="30"/>
        <v>0</v>
      </c>
      <c r="BF169" s="30">
        <f t="shared" si="31"/>
        <v>3.8619208381441922E-2</v>
      </c>
      <c r="BH169" s="30"/>
    </row>
    <row r="170" spans="1:60" x14ac:dyDescent="0.25">
      <c r="A170" s="1">
        <v>46268</v>
      </c>
      <c r="B170" s="34">
        <v>508.13</v>
      </c>
      <c r="C170" s="34">
        <v>763022</v>
      </c>
      <c r="D170" s="16">
        <v>5.7037564462881401E-3</v>
      </c>
      <c r="E170" s="16">
        <v>5.9440656319604502E-3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508.13</v>
      </c>
      <c r="M170" s="34">
        <v>763022</v>
      </c>
      <c r="N170" s="35">
        <v>1501.6275362603999</v>
      </c>
      <c r="O170" s="35">
        <v>1499.9485700668399</v>
      </c>
      <c r="P170" s="35">
        <v>1499.78163835039</v>
      </c>
      <c r="Q170" s="35">
        <v>1499.5920250464901</v>
      </c>
      <c r="R170" s="34">
        <v>762168.86690806597</v>
      </c>
      <c r="S170" s="34">
        <v>761930.77880623005</v>
      </c>
      <c r="T170" s="34">
        <v>761902.03286878101</v>
      </c>
      <c r="U170" s="16">
        <v>-1.1187231702224599E-3</v>
      </c>
      <c r="V170" s="16">
        <v>-1.43115432187698E-3</v>
      </c>
      <c r="W170" s="16">
        <v>-1.46888278819194E-3</v>
      </c>
      <c r="X170" s="35">
        <v>1501.6275362603999</v>
      </c>
      <c r="Y170" s="35">
        <v>1499.9485700668399</v>
      </c>
      <c r="Z170" s="35">
        <v>1499.78163835039</v>
      </c>
      <c r="AA170" s="35">
        <v>1499.5920250464901</v>
      </c>
      <c r="AB170" s="34">
        <v>762168.86690806597</v>
      </c>
      <c r="AC170" s="34">
        <v>761930.77880623005</v>
      </c>
      <c r="AD170" s="34">
        <v>761902.03286878101</v>
      </c>
      <c r="AE170" s="16">
        <v>-1.1187231702224599E-3</v>
      </c>
      <c r="AF170" s="16">
        <v>-1.43115432187698E-3</v>
      </c>
      <c r="AG170" s="16">
        <v>-1.46888278819194E-3</v>
      </c>
      <c r="AI170" s="12"/>
      <c r="AJ170">
        <f>IF($AG170&lt;AI$21,1,0)</f>
        <v>0</v>
      </c>
      <c r="AK170">
        <f>IF($AG170&gt;AI$22,1,0)</f>
        <v>0</v>
      </c>
      <c r="AL170">
        <f>AN170</f>
        <v>0</v>
      </c>
      <c r="AM170">
        <f>IF(F171+H171&gt;0,0,1)</f>
        <v>1</v>
      </c>
      <c r="AN170">
        <f>IF(AJ169,1,IF(AK169,0,AL169))*AM169</f>
        <v>0</v>
      </c>
      <c r="AO170" s="29">
        <f>AN170*D170</f>
        <v>0</v>
      </c>
      <c r="AP170" s="29">
        <f>-AN170*$E170</f>
        <v>0</v>
      </c>
      <c r="AQ170" s="29">
        <f>AO170+AP170</f>
        <v>0</v>
      </c>
      <c r="AR170" s="30">
        <f>AR169+AQ170</f>
        <v>2.8220064066241741E-2</v>
      </c>
      <c r="AT170" s="12"/>
      <c r="AU170">
        <f>IF($AG170&gt;AT$21,1,0)</f>
        <v>0</v>
      </c>
      <c r="AV170">
        <f>IF($AG170&lt;AT$22,1,0)</f>
        <v>1</v>
      </c>
      <c r="AW170">
        <f>AY170</f>
        <v>0</v>
      </c>
      <c r="AX170">
        <f>IF(F171+H171&gt;0,0,1)</f>
        <v>1</v>
      </c>
      <c r="AY170">
        <f>IF(AU169,1,IF(AV169,0,AW169))*AX169</f>
        <v>0</v>
      </c>
      <c r="AZ170" s="29">
        <f>-AY170*D170</f>
        <v>0</v>
      </c>
      <c r="BA170" s="29">
        <f>AY170*$E170</f>
        <v>0</v>
      </c>
      <c r="BB170" s="29">
        <f>AZ170+BA170</f>
        <v>0</v>
      </c>
      <c r="BC170" s="30">
        <f>BC169+BB170</f>
        <v>1.0399144315200178E-2</v>
      </c>
      <c r="BE170" s="30">
        <f t="shared" si="30"/>
        <v>0</v>
      </c>
      <c r="BF170" s="30">
        <f t="shared" si="31"/>
        <v>3.8619208381441922E-2</v>
      </c>
      <c r="BH170" s="30"/>
    </row>
    <row r="171" spans="1:60" x14ac:dyDescent="0.25">
      <c r="A171" s="1">
        <v>46269</v>
      </c>
      <c r="B171" s="34">
        <v>506.03</v>
      </c>
      <c r="C171" s="34">
        <v>759350</v>
      </c>
      <c r="D171" s="16">
        <v>-4.1413642845434901E-3</v>
      </c>
      <c r="E171" s="16">
        <v>-4.8240602442685201E-3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506.03</v>
      </c>
      <c r="M171" s="34">
        <v>759350</v>
      </c>
      <c r="N171" s="35">
        <v>1500.6027310633699</v>
      </c>
      <c r="O171" s="35">
        <v>1499.9485700668399</v>
      </c>
      <c r="P171" s="35">
        <v>1499.8882992587601</v>
      </c>
      <c r="Q171" s="35">
        <v>1499.87264071043</v>
      </c>
      <c r="R171" s="34">
        <v>759018.97491092596</v>
      </c>
      <c r="S171" s="34">
        <v>758934.50245445105</v>
      </c>
      <c r="T171" s="34">
        <v>758838.55243427597</v>
      </c>
      <c r="U171" s="16">
        <v>-4.3602721049746198E-4</v>
      </c>
      <c r="V171" s="16">
        <v>-5.4732503065009301E-4</v>
      </c>
      <c r="W171" s="16">
        <v>-6.73760297100126E-4</v>
      </c>
      <c r="X171" s="35">
        <v>1500.6027310633699</v>
      </c>
      <c r="Y171" s="35">
        <v>1499.9485700668399</v>
      </c>
      <c r="Z171" s="35">
        <v>1499.8882992587601</v>
      </c>
      <c r="AA171" s="35">
        <v>1499.87264071043</v>
      </c>
      <c r="AB171" s="34">
        <v>759018.97491092596</v>
      </c>
      <c r="AC171" s="34">
        <v>758934.50245445105</v>
      </c>
      <c r="AD171" s="34">
        <v>758838.55243427597</v>
      </c>
      <c r="AE171" s="16">
        <v>-4.3602721049746198E-4</v>
      </c>
      <c r="AF171" s="16">
        <v>-5.4732503065009301E-4</v>
      </c>
      <c r="AG171" s="16">
        <v>-6.73760297100126E-4</v>
      </c>
      <c r="AI171" s="12"/>
      <c r="AJ171">
        <f>IF($AG171&lt;AI$21,1,0)</f>
        <v>0</v>
      </c>
      <c r="AK171">
        <f>IF($AG171&gt;AI$22,1,0)</f>
        <v>1</v>
      </c>
      <c r="AL171">
        <f>AN171</f>
        <v>0</v>
      </c>
      <c r="AM171">
        <f>IF(F172+H172&gt;0,0,1)</f>
        <v>1</v>
      </c>
      <c r="AN171">
        <f>IF(AJ170,1,IF(AK170,0,AL170))*AM170</f>
        <v>0</v>
      </c>
      <c r="AO171" s="29">
        <f>AN171*D171</f>
        <v>0</v>
      </c>
      <c r="AP171" s="29">
        <f>-AN171*$E171</f>
        <v>0</v>
      </c>
      <c r="AQ171" s="29">
        <f>AO171+AP171</f>
        <v>0</v>
      </c>
      <c r="AR171" s="30">
        <f>AR170+AQ171</f>
        <v>2.8220064066241741E-2</v>
      </c>
      <c r="AT171" s="12"/>
      <c r="AU171">
        <f>IF($AG171&gt;AT$21,1,0)</f>
        <v>0</v>
      </c>
      <c r="AV171">
        <f>IF($AG171&lt;AT$22,1,0)</f>
        <v>1</v>
      </c>
      <c r="AW171">
        <f>AY171</f>
        <v>0</v>
      </c>
      <c r="AX171">
        <f>IF(F172+H172&gt;0,0,1)</f>
        <v>1</v>
      </c>
      <c r="AY171">
        <f>IF(AU170,1,IF(AV170,0,AW170))*AX170</f>
        <v>0</v>
      </c>
      <c r="AZ171" s="29">
        <f>-AY171*D171</f>
        <v>0</v>
      </c>
      <c r="BA171" s="29">
        <f>AY171*$E171</f>
        <v>0</v>
      </c>
      <c r="BB171" s="29">
        <f>AZ171+BA171</f>
        <v>0</v>
      </c>
      <c r="BC171" s="30">
        <f>BC170+BB171</f>
        <v>1.0399144315200178E-2</v>
      </c>
      <c r="BE171" s="30">
        <f t="shared" si="30"/>
        <v>0</v>
      </c>
      <c r="BF171" s="30">
        <f t="shared" si="31"/>
        <v>3.8619208381441922E-2</v>
      </c>
      <c r="BH171" s="30"/>
    </row>
    <row r="172" spans="1:60" x14ac:dyDescent="0.25">
      <c r="A172" s="1">
        <v>46273</v>
      </c>
      <c r="B172" s="34">
        <v>505.83</v>
      </c>
      <c r="C172" s="34">
        <v>757791</v>
      </c>
      <c r="D172" s="16">
        <v>-3.9531160952015502E-4</v>
      </c>
      <c r="E172" s="16">
        <v>-2.0551821468651199E-3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505.83</v>
      </c>
      <c r="M172" s="34">
        <v>757791</v>
      </c>
      <c r="N172" s="35">
        <v>1498.11399086649</v>
      </c>
      <c r="O172" s="35">
        <v>1499.9485700668399</v>
      </c>
      <c r="P172" s="35">
        <v>1499.8680438403301</v>
      </c>
      <c r="Q172" s="35">
        <v>1499.80807184682</v>
      </c>
      <c r="R172" s="34">
        <v>758718.98519691301</v>
      </c>
      <c r="S172" s="34">
        <v>758688.49841405801</v>
      </c>
      <c r="T172" s="34">
        <v>758680.57785055705</v>
      </c>
      <c r="U172" s="16">
        <v>1.22384332684761E-3</v>
      </c>
      <c r="V172" s="16">
        <v>1.18366060310612E-3</v>
      </c>
      <c r="W172" s="16">
        <v>1.1732207389692499E-3</v>
      </c>
      <c r="X172" s="35">
        <v>1498.11399086649</v>
      </c>
      <c r="Y172" s="35">
        <v>1499.9485700668399</v>
      </c>
      <c r="Z172" s="35">
        <v>1499.8680438403301</v>
      </c>
      <c r="AA172" s="35">
        <v>1499.80807184682</v>
      </c>
      <c r="AB172" s="34">
        <v>758718.98519691301</v>
      </c>
      <c r="AC172" s="34">
        <v>758688.49841405801</v>
      </c>
      <c r="AD172" s="34">
        <v>758680.57785055705</v>
      </c>
      <c r="AE172" s="16">
        <v>1.22384332684761E-3</v>
      </c>
      <c r="AF172" s="16">
        <v>1.18366060310612E-3</v>
      </c>
      <c r="AG172" s="16">
        <v>1.1732207389692499E-3</v>
      </c>
      <c r="AI172" s="12"/>
      <c r="AJ172">
        <f>IF($AG172&lt;AI$21,1,0)</f>
        <v>0</v>
      </c>
      <c r="AK172">
        <f>IF($AG172&gt;AI$22,1,0)</f>
        <v>1</v>
      </c>
      <c r="AL172">
        <f>AN172</f>
        <v>0</v>
      </c>
      <c r="AM172">
        <f>IF(F173+H173&gt;0,0,1)</f>
        <v>1</v>
      </c>
      <c r="AN172">
        <f>IF(AJ171,1,IF(AK171,0,AL171))*AM171</f>
        <v>0</v>
      </c>
      <c r="AO172" s="29">
        <f>AN172*D172</f>
        <v>0</v>
      </c>
      <c r="AP172" s="29">
        <f>-AN172*$E172</f>
        <v>0</v>
      </c>
      <c r="AQ172" s="29">
        <f>AO172+AP172</f>
        <v>0</v>
      </c>
      <c r="AR172" s="30">
        <f>AR171+AQ172</f>
        <v>2.8220064066241741E-2</v>
      </c>
      <c r="AT172" s="12"/>
      <c r="AU172">
        <f>IF($AG172&gt;AT$21,1,0)</f>
        <v>0</v>
      </c>
      <c r="AV172">
        <f>IF($AG172&lt;AT$22,1,0)</f>
        <v>0</v>
      </c>
      <c r="AW172">
        <f>AY172</f>
        <v>0</v>
      </c>
      <c r="AX172">
        <f>IF(F173+H173&gt;0,0,1)</f>
        <v>1</v>
      </c>
      <c r="AY172">
        <f>IF(AU171,1,IF(AV171,0,AW171))*AX171</f>
        <v>0</v>
      </c>
      <c r="AZ172" s="29">
        <f>-AY172*D172</f>
        <v>0</v>
      </c>
      <c r="BA172" s="29">
        <f>AY172*$E172</f>
        <v>0</v>
      </c>
      <c r="BB172" s="29">
        <f>AZ172+BA172</f>
        <v>0</v>
      </c>
      <c r="BC172" s="30">
        <f>BC171+BB172</f>
        <v>1.0399144315200178E-2</v>
      </c>
      <c r="BE172" s="30">
        <f t="shared" si="30"/>
        <v>0</v>
      </c>
      <c r="BF172" s="30">
        <f t="shared" si="31"/>
        <v>3.8619208381441922E-2</v>
      </c>
      <c r="BH172" s="30"/>
    </row>
    <row r="173" spans="1:60" x14ac:dyDescent="0.25">
      <c r="A173" s="1">
        <v>46274</v>
      </c>
      <c r="B173" s="34">
        <v>506.72</v>
      </c>
      <c r="C173" s="34">
        <v>759141</v>
      </c>
      <c r="D173" s="16">
        <v>1.7579383323308201E-3</v>
      </c>
      <c r="E173" s="16">
        <v>1.7799088639549299E-3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506.72</v>
      </c>
      <c r="M173" s="34">
        <v>759141</v>
      </c>
      <c r="N173" s="35">
        <v>1498.1469055888799</v>
      </c>
      <c r="O173" s="35">
        <v>1499.9485700668399</v>
      </c>
      <c r="P173" s="35">
        <v>1499.9038241834801</v>
      </c>
      <c r="Q173" s="35">
        <v>1499.6737811217699</v>
      </c>
      <c r="R173" s="34">
        <v>760053.93942427204</v>
      </c>
      <c r="S173" s="34">
        <v>760013.13517477398</v>
      </c>
      <c r="T173" s="34">
        <v>759982.74616622098</v>
      </c>
      <c r="U173" s="16">
        <v>1.2018727952234399E-3</v>
      </c>
      <c r="V173" s="16">
        <v>1.1481853623590799E-3</v>
      </c>
      <c r="W173" s="16">
        <v>1.10819971643746E-3</v>
      </c>
      <c r="X173" s="35">
        <v>1498.1469055888799</v>
      </c>
      <c r="Y173" s="35">
        <v>1499.9485700668399</v>
      </c>
      <c r="Z173" s="35">
        <v>1499.9038241834801</v>
      </c>
      <c r="AA173" s="35">
        <v>1499.6737811217699</v>
      </c>
      <c r="AB173" s="34">
        <v>760053.93942427204</v>
      </c>
      <c r="AC173" s="34">
        <v>760013.13517477398</v>
      </c>
      <c r="AD173" s="34">
        <v>759982.74616622098</v>
      </c>
      <c r="AE173" s="16">
        <v>1.2018727952234399E-3</v>
      </c>
      <c r="AF173" s="16">
        <v>1.1481853623590799E-3</v>
      </c>
      <c r="AG173" s="16">
        <v>1.10819971643746E-3</v>
      </c>
      <c r="AI173" s="12"/>
      <c r="AJ173">
        <f>IF($AG173&lt;AI$21,1,0)</f>
        <v>0</v>
      </c>
      <c r="AK173">
        <f>IF($AG173&gt;AI$22,1,0)</f>
        <v>1</v>
      </c>
      <c r="AL173">
        <f>AN173</f>
        <v>0</v>
      </c>
      <c r="AM173">
        <f>IF(F174+H174&gt;0,0,1)</f>
        <v>1</v>
      </c>
      <c r="AN173">
        <f>IF(AJ172,1,IF(AK172,0,AL172))*AM172</f>
        <v>0</v>
      </c>
      <c r="AO173" s="29">
        <f>AN173*D173</f>
        <v>0</v>
      </c>
      <c r="AP173" s="29">
        <f>-AN173*$E173</f>
        <v>0</v>
      </c>
      <c r="AQ173" s="29">
        <f>AO173+AP173</f>
        <v>0</v>
      </c>
      <c r="AR173" s="30">
        <f>AR172+AQ173</f>
        <v>2.8220064066241741E-2</v>
      </c>
      <c r="AT173" s="12"/>
      <c r="AU173">
        <f>IF($AG173&gt;AT$21,1,0)</f>
        <v>0</v>
      </c>
      <c r="AV173">
        <f>IF($AG173&lt;AT$22,1,0)</f>
        <v>0</v>
      </c>
      <c r="AW173">
        <f>AY173</f>
        <v>0</v>
      </c>
      <c r="AX173">
        <f>IF(F174+H174&gt;0,0,1)</f>
        <v>1</v>
      </c>
      <c r="AY173">
        <f>IF(AU172,1,IF(AV172,0,AW172))*AX172</f>
        <v>0</v>
      </c>
      <c r="AZ173" s="29">
        <f>-AY173*D173</f>
        <v>0</v>
      </c>
      <c r="BA173" s="29">
        <f>AY173*$E173</f>
        <v>0</v>
      </c>
      <c r="BB173" s="29">
        <f>AZ173+BA173</f>
        <v>0</v>
      </c>
      <c r="BC173" s="30">
        <f>BC172+BB173</f>
        <v>1.0399144315200178E-2</v>
      </c>
      <c r="BE173" s="30">
        <f t="shared" si="30"/>
        <v>0</v>
      </c>
      <c r="BF173" s="30">
        <f t="shared" si="31"/>
        <v>3.8619208381441922E-2</v>
      </c>
      <c r="BH173" s="30"/>
    </row>
    <row r="174" spans="1:60" x14ac:dyDescent="0.25">
      <c r="A174" s="1">
        <v>46275</v>
      </c>
      <c r="B174" s="34">
        <v>507</v>
      </c>
      <c r="C174" s="34">
        <v>761245</v>
      </c>
      <c r="D174" s="16">
        <v>5.5242080085351499E-4</v>
      </c>
      <c r="E174" s="16">
        <v>2.7677199646683999E-3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507</v>
      </c>
      <c r="M174" s="34">
        <v>761245</v>
      </c>
      <c r="N174" s="35">
        <v>1501.46942800788</v>
      </c>
      <c r="O174" s="35">
        <v>1499.9485700668399</v>
      </c>
      <c r="P174" s="35">
        <v>1500.1373546929699</v>
      </c>
      <c r="Q174" s="35">
        <v>1499.8452917378499</v>
      </c>
      <c r="R174" s="34">
        <v>760473.92502389103</v>
      </c>
      <c r="S174" s="34">
        <v>760451.23886102706</v>
      </c>
      <c r="T174" s="34">
        <v>760334.60702873801</v>
      </c>
      <c r="U174" s="16">
        <v>-1.01342636859159E-3</v>
      </c>
      <c r="V174" s="16">
        <v>-1.0432584252951099E-3</v>
      </c>
      <c r="W174" s="16">
        <v>-1.19664206288331E-3</v>
      </c>
      <c r="X174" s="35">
        <v>1501.46942800788</v>
      </c>
      <c r="Y174" s="35">
        <v>1499.9485700668399</v>
      </c>
      <c r="Z174" s="35">
        <v>1500.1373546929699</v>
      </c>
      <c r="AA174" s="35">
        <v>1499.8452917378499</v>
      </c>
      <c r="AB174" s="34">
        <v>760473.92502389103</v>
      </c>
      <c r="AC174" s="34">
        <v>760451.23886102706</v>
      </c>
      <c r="AD174" s="34">
        <v>760334.60702873801</v>
      </c>
      <c r="AE174" s="16">
        <v>-1.01342636859159E-3</v>
      </c>
      <c r="AF174" s="16">
        <v>-1.0432584252951099E-3</v>
      </c>
      <c r="AG174" s="16">
        <v>-1.19664206288331E-3</v>
      </c>
      <c r="AI174" s="12"/>
      <c r="AJ174">
        <f>IF($AG174&lt;AI$21,1,0)</f>
        <v>0</v>
      </c>
      <c r="AK174">
        <f>IF($AG174&gt;AI$22,1,0)</f>
        <v>0</v>
      </c>
      <c r="AL174">
        <f>AN174</f>
        <v>0</v>
      </c>
      <c r="AM174">
        <f>IF(F175+H175&gt;0,0,1)</f>
        <v>1</v>
      </c>
      <c r="AN174">
        <f>IF(AJ173,1,IF(AK173,0,AL173))*AM173</f>
        <v>0</v>
      </c>
      <c r="AO174" s="29">
        <f>AN174*D174</f>
        <v>0</v>
      </c>
      <c r="AP174" s="29">
        <f>-AN174*$E174</f>
        <v>0</v>
      </c>
      <c r="AQ174" s="29">
        <f>AO174+AP174</f>
        <v>0</v>
      </c>
      <c r="AR174" s="30">
        <f>AR173+AQ174</f>
        <v>2.8220064066241741E-2</v>
      </c>
      <c r="AT174" s="12"/>
      <c r="AU174">
        <f>IF($AG174&gt;AT$21,1,0)</f>
        <v>0</v>
      </c>
      <c r="AV174">
        <f>IF($AG174&lt;AT$22,1,0)</f>
        <v>1</v>
      </c>
      <c r="AW174">
        <f>AY174</f>
        <v>0</v>
      </c>
      <c r="AX174">
        <f>IF(F175+H175&gt;0,0,1)</f>
        <v>1</v>
      </c>
      <c r="AY174">
        <f>IF(AU173,1,IF(AV173,0,AW173))*AX173</f>
        <v>0</v>
      </c>
      <c r="AZ174" s="29">
        <f>-AY174*D174</f>
        <v>0</v>
      </c>
      <c r="BA174" s="29">
        <f>AY174*$E174</f>
        <v>0</v>
      </c>
      <c r="BB174" s="29">
        <f>AZ174+BA174</f>
        <v>0</v>
      </c>
      <c r="BC174" s="30">
        <f>BC173+BB174</f>
        <v>1.0399144315200178E-2</v>
      </c>
      <c r="BE174" s="30">
        <f t="shared" si="30"/>
        <v>0</v>
      </c>
      <c r="BF174" s="30">
        <f t="shared" si="31"/>
        <v>3.8619208381441922E-2</v>
      </c>
      <c r="BH174" s="30"/>
    </row>
    <row r="175" spans="1:60" x14ac:dyDescent="0.25">
      <c r="A175" s="1">
        <v>46276</v>
      </c>
      <c r="B175" s="34">
        <v>510.37</v>
      </c>
      <c r="C175" s="34">
        <v>766000</v>
      </c>
      <c r="D175" s="16">
        <v>6.6249492824690401E-3</v>
      </c>
      <c r="E175" s="16">
        <v>6.2269188825540599E-3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510.37</v>
      </c>
      <c r="M175" s="34">
        <v>766000</v>
      </c>
      <c r="N175" s="35">
        <v>1500.8719164527599</v>
      </c>
      <c r="O175" s="35">
        <v>1499.9485700668399</v>
      </c>
      <c r="P175" s="35">
        <v>1500.1464978967199</v>
      </c>
      <c r="Q175" s="35">
        <v>1499.7305816799901</v>
      </c>
      <c r="R175" s="34">
        <v>765528.75170501601</v>
      </c>
      <c r="S175" s="34">
        <v>765625.10171465401</v>
      </c>
      <c r="T175" s="34">
        <v>765476.041544248</v>
      </c>
      <c r="U175" s="16">
        <v>-6.1539596867645895E-4</v>
      </c>
      <c r="V175" s="16">
        <v>-4.8954315571536698E-4</v>
      </c>
      <c r="W175" s="16">
        <v>-6.8425291938194795E-4</v>
      </c>
      <c r="X175" s="35">
        <v>1500.8719164527599</v>
      </c>
      <c r="Y175" s="35">
        <v>1499.9485700668399</v>
      </c>
      <c r="Z175" s="35">
        <v>1500.1464978967199</v>
      </c>
      <c r="AA175" s="35">
        <v>1499.7305816799901</v>
      </c>
      <c r="AB175" s="34">
        <v>765528.75170501601</v>
      </c>
      <c r="AC175" s="34">
        <v>765625.10171465401</v>
      </c>
      <c r="AD175" s="34">
        <v>765476.041544248</v>
      </c>
      <c r="AE175" s="16">
        <v>-6.1539596867645895E-4</v>
      </c>
      <c r="AF175" s="16">
        <v>-4.8954315571536698E-4</v>
      </c>
      <c r="AG175" s="16">
        <v>-6.8425291938194795E-4</v>
      </c>
      <c r="AI175" s="12"/>
      <c r="AJ175">
        <f>IF($AG175&lt;AI$21,1,0)</f>
        <v>0</v>
      </c>
      <c r="AK175">
        <f>IF($AG175&gt;AI$22,1,0)</f>
        <v>1</v>
      </c>
      <c r="AL175">
        <f>AN175</f>
        <v>0</v>
      </c>
      <c r="AM175">
        <f>IF(F176+H176&gt;0,0,1)</f>
        <v>1</v>
      </c>
      <c r="AN175">
        <f>IF(AJ174,1,IF(AK174,0,AL174))*AM174</f>
        <v>0</v>
      </c>
      <c r="AO175" s="29">
        <f>AN175*D175</f>
        <v>0</v>
      </c>
      <c r="AP175" s="29">
        <f>-AN175*$E175</f>
        <v>0</v>
      </c>
      <c r="AQ175" s="29">
        <f>AO175+AP175</f>
        <v>0</v>
      </c>
      <c r="AR175" s="30">
        <f>AR174+AQ175</f>
        <v>2.8220064066241741E-2</v>
      </c>
      <c r="AT175" s="12"/>
      <c r="AU175">
        <f>IF($AG175&gt;AT$21,1,0)</f>
        <v>0</v>
      </c>
      <c r="AV175">
        <f>IF($AG175&lt;AT$22,1,0)</f>
        <v>1</v>
      </c>
      <c r="AW175">
        <f>AY175</f>
        <v>0</v>
      </c>
      <c r="AX175">
        <f>IF(F176+H176&gt;0,0,1)</f>
        <v>1</v>
      </c>
      <c r="AY175">
        <f>IF(AU174,1,IF(AV174,0,AW174))*AX174</f>
        <v>0</v>
      </c>
      <c r="AZ175" s="29">
        <f>-AY175*D175</f>
        <v>0</v>
      </c>
      <c r="BA175" s="29">
        <f>AY175*$E175</f>
        <v>0</v>
      </c>
      <c r="BB175" s="29">
        <f>AZ175+BA175</f>
        <v>0</v>
      </c>
      <c r="BC175" s="30">
        <f>BC174+BB175</f>
        <v>1.0399144315200178E-2</v>
      </c>
      <c r="BE175" s="30">
        <f t="shared" si="30"/>
        <v>0</v>
      </c>
      <c r="BF175" s="30">
        <f t="shared" si="31"/>
        <v>3.8619208381441922E-2</v>
      </c>
      <c r="BH175" s="30"/>
    </row>
    <row r="176" spans="1:60" x14ac:dyDescent="0.25">
      <c r="A176" s="1">
        <v>46279</v>
      </c>
      <c r="B176" s="34">
        <v>514.95000000000005</v>
      </c>
      <c r="C176" s="34">
        <v>771770</v>
      </c>
      <c r="D176" s="16">
        <v>8.9338556981585892E-3</v>
      </c>
      <c r="E176" s="16">
        <v>7.5044084338422301E-3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514.95000000000005</v>
      </c>
      <c r="M176" s="34">
        <v>771770</v>
      </c>
      <c r="N176" s="35">
        <v>1498.7280318477499</v>
      </c>
      <c r="O176" s="35">
        <v>1499.9485700668399</v>
      </c>
      <c r="P176" s="35">
        <v>1499.9232614775301</v>
      </c>
      <c r="Q176" s="35">
        <v>1499.7141034834799</v>
      </c>
      <c r="R176" s="34">
        <v>772398.51615592197</v>
      </c>
      <c r="S176" s="34">
        <v>772500.43909191596</v>
      </c>
      <c r="T176" s="34">
        <v>772286.263036113</v>
      </c>
      <c r="U176" s="16">
        <v>8.1405129563985005E-4</v>
      </c>
      <c r="V176" s="16">
        <v>9.4599900108041798E-4</v>
      </c>
      <c r="W176" s="16">
        <v>6.6871015999998601E-4</v>
      </c>
      <c r="X176" s="35">
        <v>1498.7280318477499</v>
      </c>
      <c r="Y176" s="35">
        <v>1499.9485700668399</v>
      </c>
      <c r="Z176" s="35">
        <v>1499.9232614775301</v>
      </c>
      <c r="AA176" s="35">
        <v>1499.7141034834799</v>
      </c>
      <c r="AB176" s="34">
        <v>772398.51615592197</v>
      </c>
      <c r="AC176" s="34">
        <v>772500.43909191596</v>
      </c>
      <c r="AD176" s="34">
        <v>772286.263036113</v>
      </c>
      <c r="AE176" s="16">
        <v>8.1405129563985005E-4</v>
      </c>
      <c r="AF176" s="16">
        <v>9.4599900108041798E-4</v>
      </c>
      <c r="AG176" s="16">
        <v>6.6871015999998601E-4</v>
      </c>
      <c r="AI176" s="12"/>
      <c r="AJ176">
        <f>IF($AG176&lt;AI$21,1,0)</f>
        <v>0</v>
      </c>
      <c r="AK176">
        <f>IF($AG176&gt;AI$22,1,0)</f>
        <v>1</v>
      </c>
      <c r="AL176">
        <f>AN176</f>
        <v>0</v>
      </c>
      <c r="AM176">
        <f>IF(F177+H177&gt;0,0,1)</f>
        <v>1</v>
      </c>
      <c r="AN176">
        <f>IF(AJ175,1,IF(AK175,0,AL175))*AM175</f>
        <v>0</v>
      </c>
      <c r="AO176" s="29">
        <f>AN176*D176</f>
        <v>0</v>
      </c>
      <c r="AP176" s="29">
        <f>-AN176*$E176</f>
        <v>0</v>
      </c>
      <c r="AQ176" s="29">
        <f>AO176+AP176</f>
        <v>0</v>
      </c>
      <c r="AR176" s="30">
        <f>AR175+AQ176</f>
        <v>2.8220064066241741E-2</v>
      </c>
      <c r="AT176" s="12"/>
      <c r="AU176">
        <f>IF($AG176&gt;AT$21,1,0)</f>
        <v>0</v>
      </c>
      <c r="AV176">
        <f>IF($AG176&lt;AT$22,1,0)</f>
        <v>1</v>
      </c>
      <c r="AW176">
        <f>AY176</f>
        <v>0</v>
      </c>
      <c r="AX176">
        <f>IF(F177+H177&gt;0,0,1)</f>
        <v>1</v>
      </c>
      <c r="AY176">
        <f>IF(AU175,1,IF(AV175,0,AW175))*AX175</f>
        <v>0</v>
      </c>
      <c r="AZ176" s="29">
        <f>-AY176*D176</f>
        <v>0</v>
      </c>
      <c r="BA176" s="29">
        <f>AY176*$E176</f>
        <v>0</v>
      </c>
      <c r="BB176" s="29">
        <f>AZ176+BA176</f>
        <v>0</v>
      </c>
      <c r="BC176" s="30">
        <f>BC175+BB176</f>
        <v>1.0399144315200178E-2</v>
      </c>
      <c r="BE176" s="30">
        <f t="shared" si="30"/>
        <v>0</v>
      </c>
      <c r="BF176" s="30">
        <f t="shared" si="31"/>
        <v>3.8619208381441922E-2</v>
      </c>
      <c r="BH176" s="30"/>
    </row>
    <row r="177" spans="85:100" x14ac:dyDescent="0.25">
      <c r="CG177" s="29"/>
      <c r="CH177" s="29"/>
      <c r="CI177" s="29"/>
      <c r="CJ177" s="30"/>
      <c r="CL177" s="29"/>
      <c r="CS177" s="29"/>
      <c r="CT177" s="29"/>
      <c r="CU177" s="29"/>
      <c r="CV177" s="30"/>
    </row>
    <row r="178" spans="85:100" x14ac:dyDescent="0.25">
      <c r="CG178" s="29"/>
      <c r="CH178" s="29"/>
      <c r="CI178" s="29"/>
      <c r="CJ178" s="30"/>
      <c r="CL178" s="29"/>
      <c r="CS178" s="29"/>
      <c r="CT178" s="29"/>
      <c r="CU178" s="29"/>
      <c r="CV178" s="30"/>
    </row>
    <row r="179" spans="85:100" x14ac:dyDescent="0.25">
      <c r="CG179" s="29"/>
      <c r="CH179" s="29"/>
      <c r="CI179" s="29"/>
      <c r="CJ179" s="30"/>
      <c r="CL179" s="29"/>
      <c r="CS179" s="29"/>
      <c r="CT179" s="29"/>
      <c r="CU179" s="29"/>
      <c r="CV179" s="3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R33 DM26:DP32 DR26:DR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2026-09-21T17:10:05Z</dcterms:created>
  <dcterms:modified xsi:type="dcterms:W3CDTF">2026-09-21T17:28:52Z</dcterms:modified>
</cp:coreProperties>
</file>