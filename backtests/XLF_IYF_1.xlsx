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8E6AD417-5619-4289-8BA6-950EA955B8E4}" xr6:coauthVersionLast="47" xr6:coauthVersionMax="47" xr10:uidLastSave="{00000000-0000-0000-0000-000000000000}"/>
  <bookViews>
    <workbookView xWindow="28680" yWindow="-120" windowWidth="29040" windowHeight="15720" xr2:uid="{AEE30006-8EFE-42F5-A669-8EF03A87E73E}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M173" i="1"/>
  <c r="AK173" i="1"/>
  <c r="AJ173" i="1"/>
  <c r="AX172" i="1"/>
  <c r="AV172" i="1"/>
  <c r="AU172" i="1"/>
  <c r="AY173" i="1" s="1"/>
  <c r="AM172" i="1"/>
  <c r="AK172" i="1"/>
  <c r="AJ172" i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X164" i="1"/>
  <c r="AV164" i="1"/>
  <c r="AU164" i="1"/>
  <c r="AM164" i="1"/>
  <c r="AK164" i="1"/>
  <c r="AJ164" i="1"/>
  <c r="AN165" i="1" s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M150" i="1"/>
  <c r="AK150" i="1"/>
  <c r="AJ150" i="1"/>
  <c r="AX149" i="1"/>
  <c r="AV149" i="1"/>
  <c r="AU149" i="1"/>
  <c r="AM149" i="1"/>
  <c r="AK149" i="1"/>
  <c r="AJ149" i="1"/>
  <c r="AN150" i="1" s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M146" i="1"/>
  <c r="AK146" i="1"/>
  <c r="AJ146" i="1"/>
  <c r="AN147" i="1" s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N145" i="1" s="1"/>
  <c r="AX143" i="1"/>
  <c r="AV143" i="1"/>
  <c r="AU143" i="1"/>
  <c r="AM143" i="1"/>
  <c r="AK143" i="1"/>
  <c r="AJ143" i="1"/>
  <c r="AN144" i="1" s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N139" i="1" s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M133" i="1"/>
  <c r="AK133" i="1"/>
  <c r="AJ133" i="1"/>
  <c r="AX132" i="1"/>
  <c r="AV132" i="1"/>
  <c r="AU132" i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N125" i="1" s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N123" i="1" s="1"/>
  <c r="AX121" i="1"/>
  <c r="AV121" i="1"/>
  <c r="AU121" i="1"/>
  <c r="AM121" i="1"/>
  <c r="AK121" i="1"/>
  <c r="AJ121" i="1"/>
  <c r="AN122" i="1" s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N92" i="1" s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N89" i="1" s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Y77" i="1" s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N65" i="1" s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N45" i="1" s="1"/>
  <c r="AX43" i="1"/>
  <c r="AV43" i="1"/>
  <c r="AU43" i="1"/>
  <c r="AM43" i="1"/>
  <c r="AK43" i="1"/>
  <c r="AJ43" i="1"/>
  <c r="AN44" i="1" s="1"/>
  <c r="AX42" i="1"/>
  <c r="AV42" i="1"/>
  <c r="AU42" i="1"/>
  <c r="AM42" i="1"/>
  <c r="AK42" i="1"/>
  <c r="AJ42" i="1"/>
  <c r="AN43" i="1" s="1"/>
  <c r="AX41" i="1"/>
  <c r="AV41" i="1"/>
  <c r="AU41" i="1"/>
  <c r="AM41" i="1"/>
  <c r="AK41" i="1"/>
  <c r="AJ41" i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M36" i="1"/>
  <c r="AK36" i="1"/>
  <c r="AJ36" i="1"/>
  <c r="AN37" i="1" s="1"/>
  <c r="AX35" i="1"/>
  <c r="AV35" i="1"/>
  <c r="AU35" i="1"/>
  <c r="AY36" i="1" s="1"/>
  <c r="AM35" i="1"/>
  <c r="AK35" i="1"/>
  <c r="AJ35" i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M31" i="1"/>
  <c r="AK31" i="1"/>
  <c r="AJ31" i="1"/>
  <c r="AN32" i="1" s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N28" i="1" s="1"/>
  <c r="AX26" i="1"/>
  <c r="AV26" i="1"/>
  <c r="AU26" i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X23" i="1"/>
  <c r="AV23" i="1"/>
  <c r="AU23" i="1"/>
  <c r="AY24" i="1" s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53" i="1" l="1"/>
  <c r="AY113" i="1"/>
  <c r="AY29" i="1"/>
  <c r="AY71" i="1"/>
  <c r="AY32" i="1"/>
  <c r="AY28" i="1"/>
  <c r="AN97" i="1"/>
  <c r="AN136" i="1"/>
  <c r="AN128" i="1"/>
  <c r="AN49" i="1"/>
  <c r="AN48" i="1"/>
  <c r="AN163" i="1"/>
  <c r="AN143" i="1"/>
  <c r="AN140" i="1"/>
  <c r="AN138" i="1"/>
  <c r="AN137" i="1"/>
  <c r="AN91" i="1"/>
  <c r="AN51" i="1"/>
  <c r="AN52" i="1"/>
  <c r="AN41" i="1"/>
  <c r="AN135" i="1"/>
  <c r="AN23" i="1"/>
  <c r="AN166" i="1"/>
  <c r="AN160" i="1"/>
  <c r="AN146" i="1"/>
  <c r="AN169" i="1"/>
  <c r="AN98" i="1"/>
  <c r="AN151" i="1"/>
  <c r="AN121" i="1"/>
  <c r="AN104" i="1"/>
  <c r="AN86" i="1"/>
  <c r="AN57" i="1"/>
  <c r="AN95" i="1"/>
  <c r="AN83" i="1"/>
  <c r="AN46" i="1"/>
  <c r="AN129" i="1"/>
  <c r="AN100" i="1"/>
  <c r="AN102" i="1"/>
  <c r="AN96" i="1"/>
  <c r="AN85" i="1"/>
  <c r="AN84" i="1"/>
  <c r="AN50" i="1"/>
  <c r="AN47" i="1"/>
  <c r="AY94" i="1"/>
  <c r="AY87" i="1"/>
  <c r="AY72" i="1"/>
  <c r="AY68" i="1"/>
  <c r="AY63" i="1"/>
  <c r="AY59" i="1"/>
  <c r="AY39" i="1"/>
  <c r="AY118" i="1"/>
  <c r="AY116" i="1"/>
  <c r="AY114" i="1"/>
  <c r="AY93" i="1"/>
  <c r="AY73" i="1"/>
  <c r="AY66" i="1"/>
  <c r="AY35" i="1"/>
  <c r="AY142" i="1"/>
  <c r="AY131" i="1"/>
  <c r="AY130" i="1"/>
  <c r="AY120" i="1"/>
  <c r="AY103" i="1"/>
  <c r="AY101" i="1"/>
  <c r="AY74" i="1"/>
  <c r="AY65" i="1"/>
  <c r="AY61" i="1"/>
  <c r="AY54" i="1"/>
  <c r="AY42" i="1"/>
  <c r="AY37" i="1"/>
  <c r="AY31" i="1"/>
  <c r="AY119" i="1"/>
  <c r="AY88" i="1"/>
  <c r="AY78" i="1"/>
  <c r="AY67" i="1"/>
  <c r="AY62" i="1"/>
  <c r="AY58" i="1"/>
  <c r="AY34" i="1"/>
  <c r="AY117" i="1"/>
  <c r="AY112" i="1"/>
  <c r="AY81" i="1"/>
  <c r="AY76" i="1"/>
  <c r="AY70" i="1"/>
  <c r="AY64" i="1"/>
  <c r="AY60" i="1"/>
  <c r="AY55" i="1"/>
  <c r="AY27" i="1"/>
  <c r="AY23" i="1"/>
  <c r="AY90" i="1"/>
  <c r="AY40" i="1"/>
  <c r="AY174" i="1"/>
  <c r="AN127" i="1"/>
  <c r="AN30" i="1"/>
  <c r="AN38" i="1"/>
  <c r="AN164" i="1"/>
  <c r="AN124" i="1"/>
  <c r="AN134" i="1"/>
  <c r="AZ176" i="1"/>
  <c r="BA176" i="1"/>
  <c r="AW176" i="1"/>
  <c r="AZ175" i="1"/>
  <c r="BA175" i="1"/>
  <c r="AW175" i="1"/>
  <c r="AZ174" i="1"/>
  <c r="BA174" i="1"/>
  <c r="AW174" i="1"/>
  <c r="AZ173" i="1"/>
  <c r="BA173" i="1"/>
  <c r="AW173" i="1"/>
  <c r="AZ172" i="1"/>
  <c r="BA172" i="1"/>
  <c r="AW172" i="1"/>
  <c r="AZ171" i="1"/>
  <c r="BA171" i="1"/>
  <c r="AW171" i="1"/>
  <c r="AP170" i="1"/>
  <c r="AL170" i="1"/>
  <c r="AN171" i="1" s="1"/>
  <c r="AO170" i="1"/>
  <c r="AQ170" i="1" s="1"/>
  <c r="AL169" i="1"/>
  <c r="AO169" i="1"/>
  <c r="AP169" i="1"/>
  <c r="AP168" i="1"/>
  <c r="AL168" i="1"/>
  <c r="AO168" i="1"/>
  <c r="AP167" i="1"/>
  <c r="AL167" i="1"/>
  <c r="AO167" i="1"/>
  <c r="AQ167" i="1" s="1"/>
  <c r="AL166" i="1"/>
  <c r="AO166" i="1"/>
  <c r="AP166" i="1"/>
  <c r="AL165" i="1"/>
  <c r="AP165" i="1"/>
  <c r="AO165" i="1"/>
  <c r="AP164" i="1"/>
  <c r="AL164" i="1"/>
  <c r="AO164" i="1"/>
  <c r="AQ164" i="1" s="1"/>
  <c r="AP163" i="1"/>
  <c r="AL163" i="1"/>
  <c r="AO163" i="1"/>
  <c r="AQ163" i="1" s="1"/>
  <c r="AO162" i="1"/>
  <c r="AP162" i="1"/>
  <c r="AL162" i="1"/>
  <c r="AL161" i="1"/>
  <c r="AP161" i="1"/>
  <c r="AO161" i="1"/>
  <c r="AQ161" i="1" s="1"/>
  <c r="AO160" i="1"/>
  <c r="AP160" i="1"/>
  <c r="AL160" i="1"/>
  <c r="AW159" i="1"/>
  <c r="AY160" i="1" s="1"/>
  <c r="BA159" i="1"/>
  <c r="AZ159" i="1"/>
  <c r="BB159" i="1" s="1"/>
  <c r="BA158" i="1"/>
  <c r="AZ158" i="1"/>
  <c r="BB158" i="1" s="1"/>
  <c r="AW158" i="1"/>
  <c r="BA157" i="1"/>
  <c r="AW157" i="1"/>
  <c r="AZ157" i="1"/>
  <c r="BA156" i="1"/>
  <c r="AW156" i="1"/>
  <c r="AZ156" i="1"/>
  <c r="BB156" i="1" s="1"/>
  <c r="AZ155" i="1"/>
  <c r="BA155" i="1"/>
  <c r="AW155" i="1"/>
  <c r="AW154" i="1"/>
  <c r="AZ154" i="1"/>
  <c r="BA154" i="1"/>
  <c r="BA153" i="1"/>
  <c r="AZ153" i="1"/>
  <c r="BB153" i="1" s="1"/>
  <c r="AW153" i="1"/>
  <c r="AW152" i="1"/>
  <c r="AZ152" i="1"/>
  <c r="BA152" i="1"/>
  <c r="AL151" i="1"/>
  <c r="AN152" i="1" s="1"/>
  <c r="AP151" i="1"/>
  <c r="AO151" i="1"/>
  <c r="AQ151" i="1" s="1"/>
  <c r="AL150" i="1"/>
  <c r="AP150" i="1"/>
  <c r="AO150" i="1"/>
  <c r="AQ150" i="1" s="1"/>
  <c r="AP149" i="1"/>
  <c r="AL149" i="1"/>
  <c r="AO149" i="1"/>
  <c r="AP148" i="1"/>
  <c r="AL148" i="1"/>
  <c r="AO148" i="1"/>
  <c r="AQ148" i="1" s="1"/>
  <c r="AP147" i="1"/>
  <c r="AL147" i="1"/>
  <c r="AO147" i="1"/>
  <c r="AQ147" i="1" s="1"/>
  <c r="AO146" i="1"/>
  <c r="AL146" i="1"/>
  <c r="AP146" i="1"/>
  <c r="AP145" i="1"/>
  <c r="AO145" i="1"/>
  <c r="AQ145" i="1" s="1"/>
  <c r="AL145" i="1"/>
  <c r="AP144" i="1"/>
  <c r="AO144" i="1"/>
  <c r="AQ144" i="1" s="1"/>
  <c r="AL144" i="1"/>
  <c r="AL143" i="1"/>
  <c r="AP143" i="1"/>
  <c r="AO143" i="1"/>
  <c r="AW142" i="1"/>
  <c r="AY143" i="1" s="1"/>
  <c r="AZ142" i="1"/>
  <c r="BA142" i="1"/>
  <c r="AZ141" i="1"/>
  <c r="BA141" i="1"/>
  <c r="AW141" i="1"/>
  <c r="AP140" i="1"/>
  <c r="AL140" i="1"/>
  <c r="AN141" i="1" s="1"/>
  <c r="AO140" i="1"/>
  <c r="AQ140" i="1" s="1"/>
  <c r="AL139" i="1"/>
  <c r="AO139" i="1"/>
  <c r="AP139" i="1"/>
  <c r="AL138" i="1"/>
  <c r="AP138" i="1"/>
  <c r="AO138" i="1"/>
  <c r="AQ138" i="1" s="1"/>
  <c r="AO137" i="1"/>
  <c r="AP137" i="1"/>
  <c r="AL137" i="1"/>
  <c r="AL136" i="1"/>
  <c r="AO136" i="1"/>
  <c r="AP136" i="1"/>
  <c r="AP135" i="1"/>
  <c r="AL135" i="1"/>
  <c r="AO135" i="1"/>
  <c r="AQ135" i="1" s="1"/>
  <c r="AL134" i="1"/>
  <c r="AO134" i="1"/>
  <c r="AP134" i="1"/>
  <c r="AL133" i="1"/>
  <c r="AP133" i="1"/>
  <c r="AO133" i="1"/>
  <c r="AQ133" i="1" s="1"/>
  <c r="BA132" i="1"/>
  <c r="AZ132" i="1"/>
  <c r="BB132" i="1" s="1"/>
  <c r="AW132" i="1"/>
  <c r="AY133" i="1" s="1"/>
  <c r="AZ131" i="1"/>
  <c r="AW131" i="1"/>
  <c r="BA131" i="1"/>
  <c r="AW130" i="1"/>
  <c r="AZ130" i="1"/>
  <c r="BA130" i="1"/>
  <c r="AL129" i="1"/>
  <c r="AN130" i="1" s="1"/>
  <c r="AP129" i="1"/>
  <c r="AO129" i="1"/>
  <c r="AQ129" i="1" s="1"/>
  <c r="AP128" i="1"/>
  <c r="AL128" i="1"/>
  <c r="AO128" i="1"/>
  <c r="AQ128" i="1" s="1"/>
  <c r="AO127" i="1"/>
  <c r="AL127" i="1"/>
  <c r="AP127" i="1"/>
  <c r="AL126" i="1"/>
  <c r="AP126" i="1"/>
  <c r="AO126" i="1"/>
  <c r="AQ126" i="1" s="1"/>
  <c r="AL125" i="1"/>
  <c r="AP125" i="1"/>
  <c r="AO125" i="1"/>
  <c r="AQ125" i="1" s="1"/>
  <c r="AL124" i="1"/>
  <c r="AP124" i="1"/>
  <c r="AO124" i="1"/>
  <c r="AL123" i="1"/>
  <c r="AP123" i="1"/>
  <c r="AO123" i="1"/>
  <c r="AL122" i="1"/>
  <c r="AO122" i="1"/>
  <c r="AP122" i="1"/>
  <c r="AP121" i="1"/>
  <c r="AO121" i="1"/>
  <c r="AQ121" i="1" s="1"/>
  <c r="AL121" i="1"/>
  <c r="BA120" i="1"/>
  <c r="AZ120" i="1"/>
  <c r="BB120" i="1" s="1"/>
  <c r="AW120" i="1"/>
  <c r="AY121" i="1" s="1"/>
  <c r="BA119" i="1"/>
  <c r="AW119" i="1"/>
  <c r="AZ119" i="1"/>
  <c r="BB119" i="1" s="1"/>
  <c r="BA118" i="1"/>
  <c r="AW118" i="1"/>
  <c r="AZ118" i="1"/>
  <c r="BB118" i="1" s="1"/>
  <c r="AW117" i="1"/>
  <c r="BA117" i="1"/>
  <c r="AZ117" i="1"/>
  <c r="BB117" i="1" s="1"/>
  <c r="AW116" i="1"/>
  <c r="BA116" i="1"/>
  <c r="AZ116" i="1"/>
  <c r="AZ115" i="1"/>
  <c r="BA115" i="1"/>
  <c r="AW115" i="1"/>
  <c r="AO115" i="1"/>
  <c r="AL115" i="1"/>
  <c r="AN116" i="1" s="1"/>
  <c r="AP115" i="1"/>
  <c r="AZ114" i="1"/>
  <c r="AW114" i="1"/>
  <c r="BA114" i="1"/>
  <c r="AW113" i="1"/>
  <c r="BA113" i="1"/>
  <c r="AZ113" i="1"/>
  <c r="BB113" i="1" s="1"/>
  <c r="AZ112" i="1"/>
  <c r="BA112" i="1"/>
  <c r="AW112" i="1"/>
  <c r="AZ111" i="1"/>
  <c r="BA111" i="1"/>
  <c r="AW111" i="1"/>
  <c r="AW110" i="1"/>
  <c r="AZ110" i="1"/>
  <c r="BA110" i="1"/>
  <c r="AW109" i="1"/>
  <c r="AZ109" i="1"/>
  <c r="BA109" i="1"/>
  <c r="AW108" i="1"/>
  <c r="AZ108" i="1"/>
  <c r="BA108" i="1"/>
  <c r="AW107" i="1"/>
  <c r="BA107" i="1"/>
  <c r="AZ107" i="1"/>
  <c r="AZ106" i="1"/>
  <c r="AW106" i="1"/>
  <c r="BA106" i="1"/>
  <c r="AL105" i="1"/>
  <c r="AN106" i="1" s="1"/>
  <c r="AO105" i="1"/>
  <c r="AP105" i="1"/>
  <c r="AO104" i="1"/>
  <c r="AP104" i="1"/>
  <c r="AL104" i="1"/>
  <c r="BA103" i="1"/>
  <c r="AZ103" i="1"/>
  <c r="BB103" i="1" s="1"/>
  <c r="AW103" i="1"/>
  <c r="AY104" i="1" s="1"/>
  <c r="AL102" i="1"/>
  <c r="AN103" i="1" s="1"/>
  <c r="AO102" i="1"/>
  <c r="AP102" i="1"/>
  <c r="BA101" i="1"/>
  <c r="AW101" i="1"/>
  <c r="AY102" i="1" s="1"/>
  <c r="AZ101" i="1"/>
  <c r="BB101" i="1" s="1"/>
  <c r="AO100" i="1"/>
  <c r="AP100" i="1"/>
  <c r="AL100" i="1"/>
  <c r="AN101" i="1" s="1"/>
  <c r="BA99" i="1"/>
  <c r="AW99" i="1"/>
  <c r="AY100" i="1" s="1"/>
  <c r="AZ99" i="1"/>
  <c r="BB99" i="1" s="1"/>
  <c r="AP98" i="1"/>
  <c r="AL98" i="1"/>
  <c r="AN99" i="1" s="1"/>
  <c r="AO98" i="1"/>
  <c r="AQ98" i="1" s="1"/>
  <c r="AL97" i="1"/>
  <c r="AP97" i="1"/>
  <c r="AO97" i="1"/>
  <c r="AQ97" i="1" s="1"/>
  <c r="AO96" i="1"/>
  <c r="AP96" i="1"/>
  <c r="AL96" i="1"/>
  <c r="AL95" i="1"/>
  <c r="AO95" i="1"/>
  <c r="AP95" i="1"/>
  <c r="AW94" i="1"/>
  <c r="AY95" i="1" s="1"/>
  <c r="AZ94" i="1"/>
  <c r="BA94" i="1"/>
  <c r="AW93" i="1"/>
  <c r="AZ93" i="1"/>
  <c r="BA93" i="1"/>
  <c r="AP92" i="1"/>
  <c r="AO92" i="1"/>
  <c r="AL92" i="1"/>
  <c r="AN93" i="1" s="1"/>
  <c r="AO91" i="1"/>
  <c r="AL91" i="1"/>
  <c r="AP91" i="1"/>
  <c r="AW90" i="1"/>
  <c r="AY91" i="1" s="1"/>
  <c r="AZ90" i="1"/>
  <c r="BA90" i="1"/>
  <c r="AL89" i="1"/>
  <c r="AN90" i="1" s="1"/>
  <c r="AO89" i="1"/>
  <c r="AP89" i="1"/>
  <c r="AZ88" i="1"/>
  <c r="BA88" i="1"/>
  <c r="AW88" i="1"/>
  <c r="AY89" i="1" s="1"/>
  <c r="AZ87" i="1"/>
  <c r="BA87" i="1"/>
  <c r="AW87" i="1"/>
  <c r="AL86" i="1"/>
  <c r="AN87" i="1" s="1"/>
  <c r="AP86" i="1"/>
  <c r="AO86" i="1"/>
  <c r="AO85" i="1"/>
  <c r="AP85" i="1"/>
  <c r="AL85" i="1"/>
  <c r="AO84" i="1"/>
  <c r="AL84" i="1"/>
  <c r="AP84" i="1"/>
  <c r="AO83" i="1"/>
  <c r="AL83" i="1"/>
  <c r="AP83" i="1"/>
  <c r="AZ82" i="1"/>
  <c r="BA82" i="1"/>
  <c r="AW82" i="1"/>
  <c r="AY83" i="1" s="1"/>
  <c r="BA81" i="1"/>
  <c r="AW81" i="1"/>
  <c r="AZ81" i="1"/>
  <c r="BB81" i="1" s="1"/>
  <c r="AZ80" i="1"/>
  <c r="AW80" i="1"/>
  <c r="BA80" i="1"/>
  <c r="AW79" i="1"/>
  <c r="BA79" i="1"/>
  <c r="AZ79" i="1"/>
  <c r="BB79" i="1" s="1"/>
  <c r="AW78" i="1"/>
  <c r="AZ78" i="1"/>
  <c r="BA78" i="1"/>
  <c r="AZ77" i="1"/>
  <c r="AW77" i="1"/>
  <c r="BA77" i="1"/>
  <c r="BA76" i="1"/>
  <c r="AW76" i="1"/>
  <c r="AZ76" i="1"/>
  <c r="BB76" i="1" s="1"/>
  <c r="AW75" i="1"/>
  <c r="BA75" i="1"/>
  <c r="AZ75" i="1"/>
  <c r="BB75" i="1" s="1"/>
  <c r="AZ74" i="1"/>
  <c r="BA74" i="1"/>
  <c r="AW74" i="1"/>
  <c r="BA73" i="1"/>
  <c r="AW73" i="1"/>
  <c r="AZ73" i="1"/>
  <c r="BB73" i="1" s="1"/>
  <c r="AW72" i="1"/>
  <c r="BA72" i="1"/>
  <c r="AZ72" i="1"/>
  <c r="BB72" i="1" s="1"/>
  <c r="BA71" i="1"/>
  <c r="AW71" i="1"/>
  <c r="AZ71" i="1"/>
  <c r="BB71" i="1" s="1"/>
  <c r="AZ70" i="1"/>
  <c r="AW70" i="1"/>
  <c r="BA70" i="1"/>
  <c r="AL70" i="1"/>
  <c r="AN71" i="1" s="1"/>
  <c r="AO70" i="1"/>
  <c r="AP70" i="1"/>
  <c r="AW69" i="1"/>
  <c r="BA69" i="1"/>
  <c r="AZ69" i="1"/>
  <c r="AO69" i="1"/>
  <c r="AL69" i="1"/>
  <c r="AP69" i="1"/>
  <c r="AZ68" i="1"/>
  <c r="BA68" i="1"/>
  <c r="AW68" i="1"/>
  <c r="AZ67" i="1"/>
  <c r="AW67" i="1"/>
  <c r="BA67" i="1"/>
  <c r="AO67" i="1"/>
  <c r="AP67" i="1"/>
  <c r="AL67" i="1"/>
  <c r="AN68" i="1" s="1"/>
  <c r="AZ66" i="1"/>
  <c r="BA66" i="1"/>
  <c r="AW66" i="1"/>
  <c r="AW65" i="1"/>
  <c r="AZ65" i="1"/>
  <c r="BA65" i="1"/>
  <c r="AL65" i="1"/>
  <c r="AN66" i="1" s="1"/>
  <c r="AP65" i="1"/>
  <c r="AO65" i="1"/>
  <c r="BA64" i="1"/>
  <c r="AZ64" i="1"/>
  <c r="AW64" i="1"/>
  <c r="AZ63" i="1"/>
  <c r="AW63" i="1"/>
  <c r="BA63" i="1"/>
  <c r="BA62" i="1"/>
  <c r="AW62" i="1"/>
  <c r="AZ62" i="1"/>
  <c r="BB62" i="1" s="1"/>
  <c r="BA61" i="1"/>
  <c r="AZ61" i="1"/>
  <c r="BB61" i="1" s="1"/>
  <c r="AW61" i="1"/>
  <c r="AZ60" i="1"/>
  <c r="AW60" i="1"/>
  <c r="BA60" i="1"/>
  <c r="AZ59" i="1"/>
  <c r="AW59" i="1"/>
  <c r="BA59" i="1"/>
  <c r="AZ58" i="1"/>
  <c r="AW58" i="1"/>
  <c r="BA58" i="1"/>
  <c r="AO57" i="1"/>
  <c r="AL57" i="1"/>
  <c r="AN58" i="1" s="1"/>
  <c r="AP57" i="1"/>
  <c r="AL56" i="1"/>
  <c r="AO56" i="1"/>
  <c r="AP56" i="1"/>
  <c r="AW55" i="1"/>
  <c r="AY56" i="1" s="1"/>
  <c r="BA55" i="1"/>
  <c r="AZ55" i="1"/>
  <c r="BB55" i="1" s="1"/>
  <c r="AZ54" i="1"/>
  <c r="BA54" i="1"/>
  <c r="AW54" i="1"/>
  <c r="AP53" i="1"/>
  <c r="AO53" i="1"/>
  <c r="AL53" i="1"/>
  <c r="AN54" i="1" s="1"/>
  <c r="AP52" i="1"/>
  <c r="AO52" i="1"/>
  <c r="AQ52" i="1" s="1"/>
  <c r="AL52" i="1"/>
  <c r="AL51" i="1"/>
  <c r="AP51" i="1"/>
  <c r="AO51" i="1"/>
  <c r="AQ51" i="1" s="1"/>
  <c r="AP50" i="1"/>
  <c r="AO50" i="1"/>
  <c r="AQ50" i="1" s="1"/>
  <c r="AL50" i="1"/>
  <c r="AO49" i="1"/>
  <c r="AP49" i="1"/>
  <c r="AL49" i="1"/>
  <c r="AO48" i="1"/>
  <c r="AL48" i="1"/>
  <c r="AP48" i="1"/>
  <c r="AO47" i="1"/>
  <c r="AL47" i="1"/>
  <c r="AP47" i="1"/>
  <c r="AL46" i="1"/>
  <c r="AP46" i="1"/>
  <c r="AO46" i="1"/>
  <c r="AQ46" i="1" s="1"/>
  <c r="AO45" i="1"/>
  <c r="AL45" i="1"/>
  <c r="AP45" i="1"/>
  <c r="AO44" i="1"/>
  <c r="AL44" i="1"/>
  <c r="AP44" i="1"/>
  <c r="AP43" i="1"/>
  <c r="AO43" i="1"/>
  <c r="AQ43" i="1" s="1"/>
  <c r="AL43" i="1"/>
  <c r="AO41" i="1"/>
  <c r="AL41" i="1"/>
  <c r="AN42" i="1" s="1"/>
  <c r="AP41" i="1"/>
  <c r="AW39" i="1"/>
  <c r="AZ39" i="1"/>
  <c r="BA39" i="1"/>
  <c r="AW38" i="1"/>
  <c r="AZ38" i="1"/>
  <c r="BA38" i="1"/>
  <c r="AO38" i="1"/>
  <c r="AL38" i="1"/>
  <c r="AN39" i="1" s="1"/>
  <c r="AP38" i="1"/>
  <c r="AL37" i="1"/>
  <c r="AO37" i="1"/>
  <c r="AP37" i="1"/>
  <c r="AW36" i="1"/>
  <c r="AZ36" i="1"/>
  <c r="BA36" i="1"/>
  <c r="BA35" i="1"/>
  <c r="AW35" i="1"/>
  <c r="AZ35" i="1"/>
  <c r="BB35" i="1" s="1"/>
  <c r="AW33" i="1"/>
  <c r="AZ33" i="1"/>
  <c r="BA33" i="1"/>
  <c r="AW32" i="1"/>
  <c r="BA32" i="1"/>
  <c r="AZ32" i="1"/>
  <c r="BB32" i="1" s="1"/>
  <c r="AO32" i="1"/>
  <c r="AP32" i="1"/>
  <c r="AL32" i="1"/>
  <c r="AN33" i="1" s="1"/>
  <c r="BA31" i="1"/>
  <c r="AW31" i="1"/>
  <c r="AZ31" i="1"/>
  <c r="BB31" i="1" s="1"/>
  <c r="AL30" i="1"/>
  <c r="AN31" i="1" s="1"/>
  <c r="AO30" i="1"/>
  <c r="AP30" i="1"/>
  <c r="AZ29" i="1"/>
  <c r="AW29" i="1"/>
  <c r="AY30" i="1" s="1"/>
  <c r="BA29" i="1"/>
  <c r="BA28" i="1"/>
  <c r="AZ28" i="1"/>
  <c r="AW28" i="1"/>
  <c r="AO28" i="1"/>
  <c r="AL28" i="1"/>
  <c r="AN29" i="1" s="1"/>
  <c r="AP28" i="1"/>
  <c r="BA27" i="1"/>
  <c r="AZ27" i="1"/>
  <c r="AW27" i="1"/>
  <c r="AZ26" i="1"/>
  <c r="AW26" i="1"/>
  <c r="BA26" i="1"/>
  <c r="BA25" i="1"/>
  <c r="AZ25" i="1"/>
  <c r="BB25" i="1" s="1"/>
  <c r="AW25" i="1"/>
  <c r="BA24" i="1"/>
  <c r="AZ24" i="1"/>
  <c r="BB24" i="1" s="1"/>
  <c r="AW24" i="1"/>
  <c r="AW23" i="1"/>
  <c r="AZ23" i="1"/>
  <c r="BA23" i="1"/>
  <c r="AP23" i="1"/>
  <c r="AL23" i="1"/>
  <c r="AN24" i="1" s="1"/>
  <c r="AO23" i="1"/>
  <c r="AQ23" i="1" s="1"/>
  <c r="BA22" i="1"/>
  <c r="AZ22" i="1"/>
  <c r="BB22" i="1" s="1"/>
  <c r="AO22" i="1"/>
  <c r="AP22" i="1"/>
  <c r="BB116" i="1" l="1"/>
  <c r="AQ168" i="1"/>
  <c r="AQ92" i="1"/>
  <c r="AQ65" i="1"/>
  <c r="AQ143" i="1"/>
  <c r="AQ53" i="1"/>
  <c r="AO171" i="1"/>
  <c r="AL171" i="1"/>
  <c r="AN172" i="1" s="1"/>
  <c r="AP171" i="1"/>
  <c r="AP152" i="1"/>
  <c r="AO152" i="1"/>
  <c r="AQ152" i="1" s="1"/>
  <c r="AL152" i="1"/>
  <c r="AN153" i="1" s="1"/>
  <c r="AO141" i="1"/>
  <c r="AP141" i="1"/>
  <c r="AL141" i="1"/>
  <c r="AN142" i="1" s="1"/>
  <c r="AP130" i="1"/>
  <c r="AO130" i="1"/>
  <c r="AQ130" i="1" s="1"/>
  <c r="AL130" i="1"/>
  <c r="AN131" i="1" s="1"/>
  <c r="AP116" i="1"/>
  <c r="AO116" i="1"/>
  <c r="AL116" i="1"/>
  <c r="AN117" i="1" s="1"/>
  <c r="AO106" i="1"/>
  <c r="AP106" i="1"/>
  <c r="AL106" i="1"/>
  <c r="AN107" i="1" s="1"/>
  <c r="AO103" i="1"/>
  <c r="AP103" i="1"/>
  <c r="AL103" i="1"/>
  <c r="AP101" i="1"/>
  <c r="AL101" i="1"/>
  <c r="AO101" i="1"/>
  <c r="AP99" i="1"/>
  <c r="AO99" i="1"/>
  <c r="AL99" i="1"/>
  <c r="AP93" i="1"/>
  <c r="AO93" i="1"/>
  <c r="AQ93" i="1" s="1"/>
  <c r="AL93" i="1"/>
  <c r="AN94" i="1" s="1"/>
  <c r="AO90" i="1"/>
  <c r="AL90" i="1"/>
  <c r="AP90" i="1"/>
  <c r="AL87" i="1"/>
  <c r="AN88" i="1" s="1"/>
  <c r="AP87" i="1"/>
  <c r="AO87" i="1"/>
  <c r="AQ87" i="1" s="1"/>
  <c r="AO71" i="1"/>
  <c r="AL71" i="1"/>
  <c r="AN72" i="1" s="1"/>
  <c r="AP71" i="1"/>
  <c r="AP68" i="1"/>
  <c r="AO68" i="1"/>
  <c r="AL68" i="1"/>
  <c r="AL66" i="1"/>
  <c r="AO66" i="1"/>
  <c r="AP66" i="1"/>
  <c r="AP58" i="1"/>
  <c r="AL58" i="1"/>
  <c r="AN59" i="1" s="1"/>
  <c r="AO58" i="1"/>
  <c r="AP54" i="1"/>
  <c r="AL54" i="1"/>
  <c r="AN55" i="1" s="1"/>
  <c r="AO54" i="1"/>
  <c r="AQ54" i="1" s="1"/>
  <c r="AO42" i="1"/>
  <c r="AL42" i="1"/>
  <c r="AP42" i="1"/>
  <c r="AP39" i="1"/>
  <c r="AL39" i="1"/>
  <c r="AN40" i="1" s="1"/>
  <c r="AO39" i="1"/>
  <c r="AO33" i="1"/>
  <c r="AL33" i="1"/>
  <c r="AN34" i="1" s="1"/>
  <c r="AP33" i="1"/>
  <c r="AL31" i="1"/>
  <c r="AP31" i="1"/>
  <c r="AO31" i="1"/>
  <c r="AL29" i="1"/>
  <c r="AO29" i="1"/>
  <c r="AP29" i="1"/>
  <c r="AP24" i="1"/>
  <c r="AL24" i="1"/>
  <c r="AN25" i="1" s="1"/>
  <c r="AO24" i="1"/>
  <c r="AQ123" i="1"/>
  <c r="AQ124" i="1"/>
  <c r="BB64" i="1"/>
  <c r="AW42" i="1"/>
  <c r="AY43" i="1" s="1"/>
  <c r="AZ42" i="1"/>
  <c r="BA42" i="1"/>
  <c r="AW37" i="1"/>
  <c r="BA37" i="1"/>
  <c r="AZ37" i="1"/>
  <c r="BB37" i="1" s="1"/>
  <c r="BA34" i="1"/>
  <c r="AW34" i="1"/>
  <c r="AZ34" i="1"/>
  <c r="BB34" i="1" s="1"/>
  <c r="BA40" i="1"/>
  <c r="AW40" i="1"/>
  <c r="AY41" i="1" s="1"/>
  <c r="AZ40" i="1"/>
  <c r="BB40" i="1" s="1"/>
  <c r="AZ160" i="1"/>
  <c r="BA160" i="1"/>
  <c r="AW160" i="1"/>
  <c r="AY161" i="1" s="1"/>
  <c r="BA143" i="1"/>
  <c r="AW143" i="1"/>
  <c r="AY144" i="1" s="1"/>
  <c r="AZ143" i="1"/>
  <c r="BA133" i="1"/>
  <c r="AW133" i="1"/>
  <c r="AY134" i="1" s="1"/>
  <c r="AZ133" i="1"/>
  <c r="AZ121" i="1"/>
  <c r="BA121" i="1"/>
  <c r="AW121" i="1"/>
  <c r="AY122" i="1" s="1"/>
  <c r="AZ104" i="1"/>
  <c r="BA104" i="1"/>
  <c r="AW104" i="1"/>
  <c r="AY105" i="1" s="1"/>
  <c r="BA102" i="1"/>
  <c r="AW102" i="1"/>
  <c r="AZ102" i="1"/>
  <c r="AZ100" i="1"/>
  <c r="BA100" i="1"/>
  <c r="AW100" i="1"/>
  <c r="AW95" i="1"/>
  <c r="AY96" i="1" s="1"/>
  <c r="BA95" i="1"/>
  <c r="AZ95" i="1"/>
  <c r="AZ91" i="1"/>
  <c r="AW91" i="1"/>
  <c r="AY92" i="1" s="1"/>
  <c r="BA91" i="1"/>
  <c r="AZ89" i="1"/>
  <c r="AW89" i="1"/>
  <c r="BA89" i="1"/>
  <c r="AZ56" i="1"/>
  <c r="AW56" i="1"/>
  <c r="AY57" i="1" s="1"/>
  <c r="BA56" i="1"/>
  <c r="AW43" i="1"/>
  <c r="AY44" i="1" s="1"/>
  <c r="AZ43" i="1"/>
  <c r="BA43" i="1"/>
  <c r="BA41" i="1"/>
  <c r="AW41" i="1"/>
  <c r="AZ41" i="1"/>
  <c r="BA30" i="1"/>
  <c r="AZ30" i="1"/>
  <c r="AW30" i="1"/>
  <c r="BB28" i="1"/>
  <c r="BB27" i="1"/>
  <c r="BB111" i="1"/>
  <c r="BB110" i="1"/>
  <c r="BB106" i="1"/>
  <c r="BB87" i="1"/>
  <c r="BE87" i="1" s="1"/>
  <c r="BB68" i="1"/>
  <c r="BB67" i="1"/>
  <c r="BB66" i="1"/>
  <c r="BB59" i="1"/>
  <c r="BB131" i="1"/>
  <c r="BB88" i="1"/>
  <c r="BB82" i="1"/>
  <c r="BB77" i="1"/>
  <c r="BB157" i="1"/>
  <c r="BB112" i="1"/>
  <c r="BB121" i="1"/>
  <c r="BE121" i="1" s="1"/>
  <c r="BB133" i="1"/>
  <c r="BB107" i="1"/>
  <c r="BB78" i="1"/>
  <c r="AQ134" i="1"/>
  <c r="AQ105" i="1"/>
  <c r="AQ104" i="1"/>
  <c r="AQ101" i="1"/>
  <c r="BE101" i="1" s="1"/>
  <c r="AQ96" i="1"/>
  <c r="AQ89" i="1"/>
  <c r="AQ49" i="1"/>
  <c r="BB114" i="1"/>
  <c r="BB63" i="1"/>
  <c r="AQ165" i="1"/>
  <c r="AQ103" i="1"/>
  <c r="BE103" i="1" s="1"/>
  <c r="AQ48" i="1"/>
  <c r="AQ149" i="1"/>
  <c r="BB130" i="1"/>
  <c r="BE130" i="1" s="1"/>
  <c r="AQ115" i="1"/>
  <c r="BB108" i="1"/>
  <c r="AQ83" i="1"/>
  <c r="BB65" i="1"/>
  <c r="BE65" i="1" s="1"/>
  <c r="BB54" i="1"/>
  <c r="BE54" i="1" s="1"/>
  <c r="AQ57" i="1"/>
  <c r="AQ84" i="1"/>
  <c r="AQ69" i="1"/>
  <c r="AQ106" i="1"/>
  <c r="BE106" i="1" s="1"/>
  <c r="AZ96" i="1"/>
  <c r="AW96" i="1"/>
  <c r="AY97" i="1" s="1"/>
  <c r="BA96" i="1"/>
  <c r="AZ83" i="1"/>
  <c r="BA83" i="1"/>
  <c r="AW83" i="1"/>
  <c r="AY84" i="1" s="1"/>
  <c r="BC22" i="1"/>
  <c r="BB176" i="1"/>
  <c r="BB175" i="1"/>
  <c r="BB174" i="1"/>
  <c r="BB173" i="1"/>
  <c r="BB172" i="1"/>
  <c r="BB171" i="1"/>
  <c r="AQ169" i="1"/>
  <c r="AQ166" i="1"/>
  <c r="AQ162" i="1"/>
  <c r="AQ160" i="1"/>
  <c r="BB155" i="1"/>
  <c r="BB154" i="1"/>
  <c r="BB152" i="1"/>
  <c r="BE152" i="1" s="1"/>
  <c r="AQ146" i="1"/>
  <c r="BB143" i="1"/>
  <c r="BE143" i="1" s="1"/>
  <c r="BB142" i="1"/>
  <c r="BB141" i="1"/>
  <c r="AQ141" i="1"/>
  <c r="BE141" i="1" s="1"/>
  <c r="AQ139" i="1"/>
  <c r="AQ137" i="1"/>
  <c r="AQ136" i="1"/>
  <c r="BE133" i="1"/>
  <c r="AQ122" i="1"/>
  <c r="AQ91" i="1"/>
  <c r="BB80" i="1"/>
  <c r="BB70" i="1"/>
  <c r="AQ47" i="1"/>
  <c r="AQ45" i="1"/>
  <c r="AQ44" i="1"/>
  <c r="BB42" i="1"/>
  <c r="BB41" i="1"/>
  <c r="AQ41" i="1"/>
  <c r="BB39" i="1"/>
  <c r="AQ39" i="1"/>
  <c r="BE39" i="1" s="1"/>
  <c r="BB38" i="1"/>
  <c r="AQ38" i="1"/>
  <c r="AQ37" i="1"/>
  <c r="BE37" i="1" s="1"/>
  <c r="BB36" i="1"/>
  <c r="BB33" i="1"/>
  <c r="AQ32" i="1"/>
  <c r="BE32" i="1" s="1"/>
  <c r="AQ31" i="1"/>
  <c r="BE31" i="1" s="1"/>
  <c r="BB30" i="1"/>
  <c r="AQ30" i="1"/>
  <c r="BB29" i="1"/>
  <c r="AQ28" i="1"/>
  <c r="BE28" i="1" s="1"/>
  <c r="BB26" i="1"/>
  <c r="AQ24" i="1"/>
  <c r="BE24" i="1" s="1"/>
  <c r="BB23" i="1"/>
  <c r="AQ22" i="1"/>
  <c r="BB102" i="1"/>
  <c r="AQ95" i="1"/>
  <c r="AQ86" i="1"/>
  <c r="BB74" i="1"/>
  <c r="AQ67" i="1"/>
  <c r="BE67" i="1" s="1"/>
  <c r="AQ127" i="1"/>
  <c r="AQ116" i="1"/>
  <c r="BE116" i="1" s="1"/>
  <c r="AQ102" i="1"/>
  <c r="BE102" i="1" s="1"/>
  <c r="BB93" i="1"/>
  <c r="BE93" i="1" s="1"/>
  <c r="BB58" i="1"/>
  <c r="AQ100" i="1"/>
  <c r="BB90" i="1"/>
  <c r="BB69" i="1"/>
  <c r="BE69" i="1" s="1"/>
  <c r="BB109" i="1"/>
  <c r="AQ85" i="1"/>
  <c r="AQ70" i="1"/>
  <c r="BE70" i="1" s="1"/>
  <c r="BB115" i="1"/>
  <c r="BE115" i="1" s="1"/>
  <c r="AQ99" i="1"/>
  <c r="BE99" i="1" s="1"/>
  <c r="BB95" i="1"/>
  <c r="BB94" i="1"/>
  <c r="BB60" i="1"/>
  <c r="AQ56" i="1"/>
  <c r="AQ58" i="1" l="1"/>
  <c r="BE58" i="1" s="1"/>
  <c r="AQ68" i="1"/>
  <c r="BE68" i="1" s="1"/>
  <c r="AQ29" i="1"/>
  <c r="BE29" i="1" s="1"/>
  <c r="AP172" i="1"/>
  <c r="AL172" i="1"/>
  <c r="AN173" i="1" s="1"/>
  <c r="AO172" i="1"/>
  <c r="AQ172" i="1" s="1"/>
  <c r="BE172" i="1" s="1"/>
  <c r="AP153" i="1"/>
  <c r="AL153" i="1"/>
  <c r="AN154" i="1" s="1"/>
  <c r="AO153" i="1"/>
  <c r="AO142" i="1"/>
  <c r="AL142" i="1"/>
  <c r="AP142" i="1"/>
  <c r="AO131" i="1"/>
  <c r="AP131" i="1"/>
  <c r="AL131" i="1"/>
  <c r="AN132" i="1" s="1"/>
  <c r="AO117" i="1"/>
  <c r="AL117" i="1"/>
  <c r="AN118" i="1" s="1"/>
  <c r="AP117" i="1"/>
  <c r="AL107" i="1"/>
  <c r="AN108" i="1" s="1"/>
  <c r="AP107" i="1"/>
  <c r="AO107" i="1"/>
  <c r="AQ107" i="1" s="1"/>
  <c r="BE107" i="1" s="1"/>
  <c r="AP94" i="1"/>
  <c r="AO94" i="1"/>
  <c r="AQ94" i="1" s="1"/>
  <c r="BE94" i="1" s="1"/>
  <c r="AL94" i="1"/>
  <c r="AL88" i="1"/>
  <c r="AO88" i="1"/>
  <c r="AP88" i="1"/>
  <c r="AO72" i="1"/>
  <c r="AL72" i="1"/>
  <c r="AN73" i="1" s="1"/>
  <c r="AP72" i="1"/>
  <c r="AP59" i="1"/>
  <c r="AL59" i="1"/>
  <c r="AN60" i="1" s="1"/>
  <c r="AO59" i="1"/>
  <c r="AP55" i="1"/>
  <c r="AO55" i="1"/>
  <c r="AQ55" i="1" s="1"/>
  <c r="BE55" i="1" s="1"/>
  <c r="AL55" i="1"/>
  <c r="AO40" i="1"/>
  <c r="AP40" i="1"/>
  <c r="AL40" i="1"/>
  <c r="AL34" i="1"/>
  <c r="AN35" i="1" s="1"/>
  <c r="AO34" i="1"/>
  <c r="AP34" i="1"/>
  <c r="AP25" i="1"/>
  <c r="AL25" i="1"/>
  <c r="AN26" i="1" s="1"/>
  <c r="AO25" i="1"/>
  <c r="AQ25" i="1" s="1"/>
  <c r="AQ90" i="1"/>
  <c r="BE90" i="1" s="1"/>
  <c r="AQ42" i="1"/>
  <c r="BE42" i="1" s="1"/>
  <c r="AQ171" i="1"/>
  <c r="BE171" i="1" s="1"/>
  <c r="AQ71" i="1"/>
  <c r="BE71" i="1" s="1"/>
  <c r="AQ66" i="1"/>
  <c r="BE66" i="1" s="1"/>
  <c r="AQ33" i="1"/>
  <c r="BE33" i="1" s="1"/>
  <c r="AW161" i="1"/>
  <c r="AY162" i="1" s="1"/>
  <c r="AZ161" i="1"/>
  <c r="BA161" i="1"/>
  <c r="BA144" i="1"/>
  <c r="AZ144" i="1"/>
  <c r="BB144" i="1" s="1"/>
  <c r="BE144" i="1" s="1"/>
  <c r="AW144" i="1"/>
  <c r="AY145" i="1" s="1"/>
  <c r="AW134" i="1"/>
  <c r="AY135" i="1" s="1"/>
  <c r="AZ134" i="1"/>
  <c r="BA134" i="1"/>
  <c r="BA122" i="1"/>
  <c r="AZ122" i="1"/>
  <c r="AW122" i="1"/>
  <c r="AY123" i="1" s="1"/>
  <c r="BA105" i="1"/>
  <c r="AZ105" i="1"/>
  <c r="BB105" i="1" s="1"/>
  <c r="BE105" i="1" s="1"/>
  <c r="AW105" i="1"/>
  <c r="AZ92" i="1"/>
  <c r="BA92" i="1"/>
  <c r="AW92" i="1"/>
  <c r="AZ57" i="1"/>
  <c r="BA57" i="1"/>
  <c r="AW57" i="1"/>
  <c r="AZ44" i="1"/>
  <c r="AW44" i="1"/>
  <c r="AY45" i="1" s="1"/>
  <c r="BA44" i="1"/>
  <c r="BB160" i="1"/>
  <c r="BE160" i="1" s="1"/>
  <c r="BB104" i="1"/>
  <c r="BE104" i="1" s="1"/>
  <c r="BB100" i="1"/>
  <c r="BE100" i="1" s="1"/>
  <c r="BB91" i="1"/>
  <c r="BE91" i="1" s="1"/>
  <c r="BB89" i="1"/>
  <c r="BE89" i="1" s="1"/>
  <c r="BB56" i="1"/>
  <c r="BE56" i="1" s="1"/>
  <c r="BB43" i="1"/>
  <c r="BE43" i="1" s="1"/>
  <c r="BE30" i="1"/>
  <c r="AZ97" i="1"/>
  <c r="AW97" i="1"/>
  <c r="AY98" i="1" s="1"/>
  <c r="BA97" i="1"/>
  <c r="AZ84" i="1"/>
  <c r="AW84" i="1"/>
  <c r="AY85" i="1" s="1"/>
  <c r="BA84" i="1"/>
  <c r="BE41" i="1"/>
  <c r="BE38" i="1"/>
  <c r="BB83" i="1"/>
  <c r="BE83" i="1" s="1"/>
  <c r="BB96" i="1"/>
  <c r="BE96" i="1" s="1"/>
  <c r="AR22" i="1"/>
  <c r="AR23" i="1" s="1"/>
  <c r="AR24" i="1" s="1"/>
  <c r="BE22" i="1"/>
  <c r="BE95" i="1"/>
  <c r="BC23" i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E23" i="1"/>
  <c r="BB44" i="1" l="1"/>
  <c r="AQ153" i="1"/>
  <c r="BE153" i="1" s="1"/>
  <c r="AQ59" i="1"/>
  <c r="BE59" i="1" s="1"/>
  <c r="AQ40" i="1"/>
  <c r="BE40" i="1" s="1"/>
  <c r="AL173" i="1"/>
  <c r="AN174" i="1" s="1"/>
  <c r="AP173" i="1"/>
  <c r="AO173" i="1"/>
  <c r="AQ173" i="1" s="1"/>
  <c r="BE173" i="1" s="1"/>
  <c r="AP154" i="1"/>
  <c r="AL154" i="1"/>
  <c r="AN155" i="1" s="1"/>
  <c r="AO154" i="1"/>
  <c r="AQ154" i="1" s="1"/>
  <c r="BE154" i="1" s="1"/>
  <c r="AL132" i="1"/>
  <c r="AO132" i="1"/>
  <c r="AP132" i="1"/>
  <c r="AO118" i="1"/>
  <c r="AL118" i="1"/>
  <c r="AN119" i="1" s="1"/>
  <c r="AP118" i="1"/>
  <c r="AL108" i="1"/>
  <c r="AN109" i="1" s="1"/>
  <c r="AO108" i="1"/>
  <c r="AP108" i="1"/>
  <c r="AP73" i="1"/>
  <c r="AL73" i="1"/>
  <c r="AN74" i="1" s="1"/>
  <c r="AO73" i="1"/>
  <c r="AQ73" i="1" s="1"/>
  <c r="BE73" i="1" s="1"/>
  <c r="AL60" i="1"/>
  <c r="AN61" i="1" s="1"/>
  <c r="AP60" i="1"/>
  <c r="AO60" i="1"/>
  <c r="AO35" i="1"/>
  <c r="AP35" i="1"/>
  <c r="AL35" i="1"/>
  <c r="AN36" i="1" s="1"/>
  <c r="AO26" i="1"/>
  <c r="AP26" i="1"/>
  <c r="AL26" i="1"/>
  <c r="AN27" i="1" s="1"/>
  <c r="AR25" i="1"/>
  <c r="AQ142" i="1"/>
  <c r="BE142" i="1" s="1"/>
  <c r="AQ131" i="1"/>
  <c r="BE131" i="1" s="1"/>
  <c r="AQ117" i="1"/>
  <c r="BE117" i="1" s="1"/>
  <c r="AQ88" i="1"/>
  <c r="BE88" i="1" s="1"/>
  <c r="AQ72" i="1"/>
  <c r="BE72" i="1" s="1"/>
  <c r="AQ34" i="1"/>
  <c r="BE34" i="1" s="1"/>
  <c r="BE25" i="1"/>
  <c r="AZ162" i="1"/>
  <c r="BA162" i="1"/>
  <c r="AW162" i="1"/>
  <c r="AY163" i="1" s="1"/>
  <c r="AZ145" i="1"/>
  <c r="AW145" i="1"/>
  <c r="AY146" i="1" s="1"/>
  <c r="BA145" i="1"/>
  <c r="BA135" i="1"/>
  <c r="AW135" i="1"/>
  <c r="AY136" i="1" s="1"/>
  <c r="AZ135" i="1"/>
  <c r="BB135" i="1" s="1"/>
  <c r="BE135" i="1" s="1"/>
  <c r="BA123" i="1"/>
  <c r="AW123" i="1"/>
  <c r="AY124" i="1" s="1"/>
  <c r="AZ123" i="1"/>
  <c r="BB123" i="1" s="1"/>
  <c r="BE123" i="1" s="1"/>
  <c r="AW45" i="1"/>
  <c r="AY46" i="1" s="1"/>
  <c r="AZ45" i="1"/>
  <c r="BA45" i="1"/>
  <c r="BA98" i="1"/>
  <c r="AW98" i="1"/>
  <c r="AZ98" i="1"/>
  <c r="BB98" i="1" s="1"/>
  <c r="BE98" i="1" s="1"/>
  <c r="BA85" i="1"/>
  <c r="AZ85" i="1"/>
  <c r="BB85" i="1" s="1"/>
  <c r="BE85" i="1" s="1"/>
  <c r="AW85" i="1"/>
  <c r="AY86" i="1" s="1"/>
  <c r="BB161" i="1"/>
  <c r="BE161" i="1" s="1"/>
  <c r="BB134" i="1"/>
  <c r="BE134" i="1" s="1"/>
  <c r="BB122" i="1"/>
  <c r="BE122" i="1" s="1"/>
  <c r="BB57" i="1"/>
  <c r="BE57" i="1" s="1"/>
  <c r="BB92" i="1"/>
  <c r="BE92" i="1" s="1"/>
  <c r="BB97" i="1"/>
  <c r="BE97" i="1" s="1"/>
  <c r="BB84" i="1"/>
  <c r="BE84" i="1" s="1"/>
  <c r="BF22" i="1"/>
  <c r="BF23" i="1" s="1"/>
  <c r="BF24" i="1" s="1"/>
  <c r="BF25" i="1" s="1"/>
  <c r="BC44" i="1" l="1"/>
  <c r="BE44" i="1"/>
  <c r="AQ108" i="1"/>
  <c r="BE108" i="1" s="1"/>
  <c r="AQ35" i="1"/>
  <c r="BE35" i="1" s="1"/>
  <c r="AQ26" i="1"/>
  <c r="AR26" i="1" s="1"/>
  <c r="AL174" i="1"/>
  <c r="AN175" i="1" s="1"/>
  <c r="AP174" i="1"/>
  <c r="AO174" i="1"/>
  <c r="AQ174" i="1" s="1"/>
  <c r="BE174" i="1" s="1"/>
  <c r="AP155" i="1"/>
  <c r="AL155" i="1"/>
  <c r="AN156" i="1" s="1"/>
  <c r="AO155" i="1"/>
  <c r="AQ155" i="1" s="1"/>
  <c r="BE155" i="1" s="1"/>
  <c r="AP119" i="1"/>
  <c r="AO119" i="1"/>
  <c r="AQ119" i="1" s="1"/>
  <c r="BE119" i="1" s="1"/>
  <c r="AL119" i="1"/>
  <c r="AN120" i="1" s="1"/>
  <c r="AP109" i="1"/>
  <c r="AO109" i="1"/>
  <c r="AQ109" i="1" s="1"/>
  <c r="BE109" i="1" s="1"/>
  <c r="AL109" i="1"/>
  <c r="AN110" i="1" s="1"/>
  <c r="AO74" i="1"/>
  <c r="AL74" i="1"/>
  <c r="AN75" i="1" s="1"/>
  <c r="AP74" i="1"/>
  <c r="AL61" i="1"/>
  <c r="AN62" i="1" s="1"/>
  <c r="AO61" i="1"/>
  <c r="AP61" i="1"/>
  <c r="AP36" i="1"/>
  <c r="AL36" i="1"/>
  <c r="AO36" i="1"/>
  <c r="AQ36" i="1" s="1"/>
  <c r="BE36" i="1" s="1"/>
  <c r="AP27" i="1"/>
  <c r="AO27" i="1"/>
  <c r="AQ27" i="1" s="1"/>
  <c r="AL27" i="1"/>
  <c r="AQ132" i="1"/>
  <c r="BE132" i="1" s="1"/>
  <c r="AQ118" i="1"/>
  <c r="BE118" i="1" s="1"/>
  <c r="AQ60" i="1"/>
  <c r="BE60" i="1" s="1"/>
  <c r="BE26" i="1"/>
  <c r="BF26" i="1" s="1"/>
  <c r="AW163" i="1"/>
  <c r="AY164" i="1" s="1"/>
  <c r="AZ163" i="1"/>
  <c r="BA163" i="1"/>
  <c r="BA146" i="1"/>
  <c r="AZ146" i="1"/>
  <c r="BB146" i="1" s="1"/>
  <c r="BE146" i="1" s="1"/>
  <c r="AW146" i="1"/>
  <c r="AY147" i="1" s="1"/>
  <c r="AW136" i="1"/>
  <c r="AY137" i="1" s="1"/>
  <c r="AZ136" i="1"/>
  <c r="BA136" i="1"/>
  <c r="BA124" i="1"/>
  <c r="AW124" i="1"/>
  <c r="AY125" i="1" s="1"/>
  <c r="AZ124" i="1"/>
  <c r="BB124" i="1" s="1"/>
  <c r="BE124" i="1" s="1"/>
  <c r="BA46" i="1"/>
  <c r="AW46" i="1"/>
  <c r="AY47" i="1" s="1"/>
  <c r="AZ46" i="1"/>
  <c r="AZ86" i="1"/>
  <c r="AW86" i="1"/>
  <c r="BA86" i="1"/>
  <c r="BB162" i="1"/>
  <c r="BE162" i="1" s="1"/>
  <c r="BB145" i="1"/>
  <c r="BE145" i="1" s="1"/>
  <c r="BB45" i="1"/>
  <c r="BB46" i="1" l="1"/>
  <c r="BE46" i="1" s="1"/>
  <c r="AL175" i="1"/>
  <c r="AN176" i="1" s="1"/>
  <c r="AP175" i="1"/>
  <c r="AO175" i="1"/>
  <c r="AL156" i="1"/>
  <c r="AN157" i="1" s="1"/>
  <c r="AO156" i="1"/>
  <c r="AP156" i="1"/>
  <c r="AO120" i="1"/>
  <c r="AP120" i="1"/>
  <c r="AL120" i="1"/>
  <c r="AP110" i="1"/>
  <c r="AO110" i="1"/>
  <c r="AQ110" i="1" s="1"/>
  <c r="BE110" i="1" s="1"/>
  <c r="AL110" i="1"/>
  <c r="AN111" i="1" s="1"/>
  <c r="AP75" i="1"/>
  <c r="AL75" i="1"/>
  <c r="AN76" i="1" s="1"/>
  <c r="AO75" i="1"/>
  <c r="AP62" i="1"/>
  <c r="AL62" i="1"/>
  <c r="AN63" i="1" s="1"/>
  <c r="AO62" i="1"/>
  <c r="AQ62" i="1" s="1"/>
  <c r="BE62" i="1" s="1"/>
  <c r="AR27" i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BE27" i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AQ74" i="1"/>
  <c r="BE74" i="1" s="1"/>
  <c r="AQ61" i="1"/>
  <c r="BA164" i="1"/>
  <c r="AW164" i="1"/>
  <c r="AY165" i="1" s="1"/>
  <c r="AZ164" i="1"/>
  <c r="BB164" i="1" s="1"/>
  <c r="BE164" i="1" s="1"/>
  <c r="AW147" i="1"/>
  <c r="AY148" i="1" s="1"/>
  <c r="BA147" i="1"/>
  <c r="AZ147" i="1"/>
  <c r="AW137" i="1"/>
  <c r="AY138" i="1" s="1"/>
  <c r="BA137" i="1"/>
  <c r="AZ137" i="1"/>
  <c r="BB137" i="1" s="1"/>
  <c r="BE137" i="1" s="1"/>
  <c r="BA125" i="1"/>
  <c r="AW125" i="1"/>
  <c r="AY126" i="1" s="1"/>
  <c r="AZ125" i="1"/>
  <c r="BB125" i="1" s="1"/>
  <c r="BE125" i="1" s="1"/>
  <c r="AW47" i="1"/>
  <c r="AY48" i="1" s="1"/>
  <c r="BA47" i="1"/>
  <c r="AZ47" i="1"/>
  <c r="BB47" i="1" s="1"/>
  <c r="BE47" i="1" s="1"/>
  <c r="BE45" i="1"/>
  <c r="BC45" i="1"/>
  <c r="BC46" i="1" s="1"/>
  <c r="BC47" i="1" s="1"/>
  <c r="BB163" i="1"/>
  <c r="BE163" i="1" s="1"/>
  <c r="BB136" i="1"/>
  <c r="BE136" i="1" s="1"/>
  <c r="BB86" i="1"/>
  <c r="BE86" i="1" s="1"/>
  <c r="AQ75" i="1" l="1"/>
  <c r="BE75" i="1" s="1"/>
  <c r="AQ175" i="1"/>
  <c r="BE175" i="1" s="1"/>
  <c r="BF45" i="1"/>
  <c r="BF46" i="1" s="1"/>
  <c r="AL176" i="1"/>
  <c r="AP176" i="1"/>
  <c r="AO176" i="1"/>
  <c r="AO157" i="1"/>
  <c r="AP157" i="1"/>
  <c r="AL157" i="1"/>
  <c r="AN158" i="1" s="1"/>
  <c r="AL111" i="1"/>
  <c r="AN112" i="1" s="1"/>
  <c r="AP111" i="1"/>
  <c r="AO111" i="1"/>
  <c r="AL76" i="1"/>
  <c r="AN77" i="1" s="1"/>
  <c r="AO76" i="1"/>
  <c r="AP76" i="1"/>
  <c r="AL63" i="1"/>
  <c r="AN64" i="1" s="1"/>
  <c r="AP63" i="1"/>
  <c r="AO63" i="1"/>
  <c r="AQ63" i="1" s="1"/>
  <c r="BE61" i="1"/>
  <c r="AQ156" i="1"/>
  <c r="BE156" i="1" s="1"/>
  <c r="AQ120" i="1"/>
  <c r="BE120" i="1" s="1"/>
  <c r="BF47" i="1"/>
  <c r="BB147" i="1"/>
  <c r="BE147" i="1" s="1"/>
  <c r="AZ165" i="1"/>
  <c r="BA165" i="1"/>
  <c r="AW165" i="1"/>
  <c r="AY166" i="1" s="1"/>
  <c r="BA148" i="1"/>
  <c r="AW148" i="1"/>
  <c r="AY149" i="1" s="1"/>
  <c r="AZ148" i="1"/>
  <c r="BB148" i="1" s="1"/>
  <c r="BE148" i="1" s="1"/>
  <c r="BA138" i="1"/>
  <c r="AW138" i="1"/>
  <c r="AY139" i="1" s="1"/>
  <c r="AZ138" i="1"/>
  <c r="BB138" i="1" s="1"/>
  <c r="BE138" i="1" s="1"/>
  <c r="AZ126" i="1"/>
  <c r="BA126" i="1"/>
  <c r="AW126" i="1"/>
  <c r="AY127" i="1" s="1"/>
  <c r="AW48" i="1"/>
  <c r="AY49" i="1" s="1"/>
  <c r="AZ48" i="1"/>
  <c r="BA48" i="1"/>
  <c r="AQ111" i="1" l="1"/>
  <c r="BE111" i="1" s="1"/>
  <c r="AQ157" i="1"/>
  <c r="BE157" i="1" s="1"/>
  <c r="AQ76" i="1"/>
  <c r="BE76" i="1" s="1"/>
  <c r="AO158" i="1"/>
  <c r="AL158" i="1"/>
  <c r="AN159" i="1" s="1"/>
  <c r="AP158" i="1"/>
  <c r="AP112" i="1"/>
  <c r="AO112" i="1"/>
  <c r="AQ112" i="1" s="1"/>
  <c r="BE112" i="1" s="1"/>
  <c r="AL112" i="1"/>
  <c r="AN113" i="1" s="1"/>
  <c r="AO77" i="1"/>
  <c r="AL77" i="1"/>
  <c r="AN78" i="1" s="1"/>
  <c r="AP77" i="1"/>
  <c r="AO64" i="1"/>
  <c r="AL64" i="1"/>
  <c r="AP64" i="1"/>
  <c r="AR63" i="1"/>
  <c r="BE63" i="1"/>
  <c r="AQ176" i="1"/>
  <c r="BE176" i="1" s="1"/>
  <c r="AW166" i="1"/>
  <c r="AY167" i="1" s="1"/>
  <c r="BA166" i="1"/>
  <c r="AZ166" i="1"/>
  <c r="AZ149" i="1"/>
  <c r="AW149" i="1"/>
  <c r="AY150" i="1" s="1"/>
  <c r="BA149" i="1"/>
  <c r="BA139" i="1"/>
  <c r="AW139" i="1"/>
  <c r="AY140" i="1" s="1"/>
  <c r="AZ139" i="1"/>
  <c r="BB139" i="1" s="1"/>
  <c r="BE139" i="1" s="1"/>
  <c r="BA127" i="1"/>
  <c r="AW127" i="1"/>
  <c r="AY128" i="1" s="1"/>
  <c r="AZ127" i="1"/>
  <c r="BB127" i="1" s="1"/>
  <c r="BE127" i="1" s="1"/>
  <c r="AW49" i="1"/>
  <c r="AY50" i="1" s="1"/>
  <c r="AZ49" i="1"/>
  <c r="BA49" i="1"/>
  <c r="BB165" i="1"/>
  <c r="BE165" i="1" s="1"/>
  <c r="BB126" i="1"/>
  <c r="BE126" i="1" s="1"/>
  <c r="BB48" i="1"/>
  <c r="BB166" i="1" l="1"/>
  <c r="BE166" i="1" s="1"/>
  <c r="AL159" i="1"/>
  <c r="AO159" i="1"/>
  <c r="AP159" i="1"/>
  <c r="AL113" i="1"/>
  <c r="AN114" i="1" s="1"/>
  <c r="AO113" i="1"/>
  <c r="AP113" i="1"/>
  <c r="AO78" i="1"/>
  <c r="AP78" i="1"/>
  <c r="AL78" i="1"/>
  <c r="AN79" i="1" s="1"/>
  <c r="AQ158" i="1"/>
  <c r="BE158" i="1" s="1"/>
  <c r="AQ77" i="1"/>
  <c r="BE77" i="1" s="1"/>
  <c r="AQ64" i="1"/>
  <c r="AW167" i="1"/>
  <c r="AY168" i="1" s="1"/>
  <c r="AZ167" i="1"/>
  <c r="BA167" i="1"/>
  <c r="BA150" i="1"/>
  <c r="AW150" i="1"/>
  <c r="AY151" i="1" s="1"/>
  <c r="AZ150" i="1"/>
  <c r="BB150" i="1" s="1"/>
  <c r="BE150" i="1" s="1"/>
  <c r="AZ140" i="1"/>
  <c r="AW140" i="1"/>
  <c r="BA140" i="1"/>
  <c r="AZ128" i="1"/>
  <c r="BA128" i="1"/>
  <c r="AW128" i="1"/>
  <c r="AY129" i="1" s="1"/>
  <c r="AZ50" i="1"/>
  <c r="BA50" i="1"/>
  <c r="AW50" i="1"/>
  <c r="AY51" i="1" s="1"/>
  <c r="BE48" i="1"/>
  <c r="BC48" i="1"/>
  <c r="BB149" i="1"/>
  <c r="BE149" i="1" s="1"/>
  <c r="BB49" i="1"/>
  <c r="BB50" i="1" l="1"/>
  <c r="BE50" i="1" s="1"/>
  <c r="AO114" i="1"/>
  <c r="AL114" i="1"/>
  <c r="AP114" i="1"/>
  <c r="AP79" i="1"/>
  <c r="AO79" i="1"/>
  <c r="AQ79" i="1" s="1"/>
  <c r="BE79" i="1" s="1"/>
  <c r="AL79" i="1"/>
  <c r="AN80" i="1" s="1"/>
  <c r="AR64" i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BE64" i="1"/>
  <c r="AQ159" i="1"/>
  <c r="AQ113" i="1"/>
  <c r="BE113" i="1" s="1"/>
  <c r="AQ78" i="1"/>
  <c r="BE78" i="1" s="1"/>
  <c r="BC49" i="1"/>
  <c r="BC50" i="1" s="1"/>
  <c r="BB167" i="1"/>
  <c r="BE167" i="1" s="1"/>
  <c r="BB140" i="1"/>
  <c r="BE140" i="1" s="1"/>
  <c r="BA168" i="1"/>
  <c r="AW168" i="1"/>
  <c r="AY169" i="1" s="1"/>
  <c r="AZ168" i="1"/>
  <c r="BB168" i="1" s="1"/>
  <c r="BE168" i="1" s="1"/>
  <c r="AZ151" i="1"/>
  <c r="BA151" i="1"/>
  <c r="AW151" i="1"/>
  <c r="AW129" i="1"/>
  <c r="AZ129" i="1"/>
  <c r="BA129" i="1"/>
  <c r="BA51" i="1"/>
  <c r="AW51" i="1"/>
  <c r="AY52" i="1" s="1"/>
  <c r="AZ51" i="1"/>
  <c r="BF48" i="1"/>
  <c r="BB128" i="1"/>
  <c r="BE128" i="1" s="1"/>
  <c r="BE49" i="1"/>
  <c r="AL80" i="1" l="1"/>
  <c r="AN81" i="1" s="1"/>
  <c r="AP80" i="1"/>
  <c r="AO80" i="1"/>
  <c r="AR78" i="1"/>
  <c r="AR79" i="1" s="1"/>
  <c r="AQ114" i="1"/>
  <c r="BE114" i="1" s="1"/>
  <c r="BE159" i="1"/>
  <c r="BB51" i="1"/>
  <c r="BF49" i="1"/>
  <c r="BF50" i="1" s="1"/>
  <c r="AZ169" i="1"/>
  <c r="AW169" i="1"/>
  <c r="AY170" i="1" s="1"/>
  <c r="BA169" i="1"/>
  <c r="AZ52" i="1"/>
  <c r="BA52" i="1"/>
  <c r="AW52" i="1"/>
  <c r="AY53" i="1" s="1"/>
  <c r="BB151" i="1"/>
  <c r="BE151" i="1" s="1"/>
  <c r="BB129" i="1"/>
  <c r="BE129" i="1" s="1"/>
  <c r="BC51" i="1" l="1"/>
  <c r="BE51" i="1"/>
  <c r="AO81" i="1"/>
  <c r="AL81" i="1"/>
  <c r="AN82" i="1" s="1"/>
  <c r="AP81" i="1"/>
  <c r="AQ80" i="1"/>
  <c r="AZ170" i="1"/>
  <c r="AW170" i="1"/>
  <c r="BA170" i="1"/>
  <c r="BA53" i="1"/>
  <c r="AZ53" i="1"/>
  <c r="AW53" i="1"/>
  <c r="BF51" i="1"/>
  <c r="BB169" i="1"/>
  <c r="BE169" i="1" s="1"/>
  <c r="BB52" i="1"/>
  <c r="BB53" i="1" l="1"/>
  <c r="AP82" i="1"/>
  <c r="AL82" i="1"/>
  <c r="AO82" i="1"/>
  <c r="AQ82" i="1" s="1"/>
  <c r="BE82" i="1" s="1"/>
  <c r="AR80" i="1"/>
  <c r="BE80" i="1"/>
  <c r="AQ81" i="1"/>
  <c r="BB170" i="1"/>
  <c r="BE170" i="1" s="1"/>
  <c r="BC52" i="1"/>
  <c r="BE52" i="1"/>
  <c r="BB14" i="1"/>
  <c r="BB15" i="1"/>
  <c r="BC53" i="1" l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53" i="1"/>
  <c r="BB19" i="1"/>
  <c r="AR81" i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81" i="1"/>
  <c r="AQ19" i="1"/>
  <c r="AQ14" i="1"/>
  <c r="AQ15" i="1"/>
  <c r="BF52" i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8" i="1"/>
  <c r="BE14" i="1"/>
  <c r="BB16" i="1"/>
  <c r="AT1" i="1" s="1"/>
  <c r="AQ16" i="1" l="1"/>
  <c r="AI1" i="1" s="1"/>
  <c r="BE16" i="1"/>
</calcChain>
</file>

<file path=xl/sharedStrings.xml><?xml version="1.0" encoding="utf-8"?>
<sst xmlns="http://schemas.openxmlformats.org/spreadsheetml/2006/main" count="74" uniqueCount="53">
  <si>
    <t>date</t>
  </si>
  <si>
    <t>XLF</t>
  </si>
  <si>
    <t>IYF</t>
  </si>
  <si>
    <t>XLF log rtn</t>
  </si>
  <si>
    <t>IYF log rtn</t>
  </si>
  <si>
    <t>XLF div</t>
  </si>
  <si>
    <t>XLF div cumsum</t>
  </si>
  <si>
    <t>IYF div</t>
  </si>
  <si>
    <t>IYF div cumsum</t>
  </si>
  <si>
    <t>XLF div adjustment</t>
  </si>
  <si>
    <t>IYF div adjustment</t>
  </si>
  <si>
    <t>XLF*</t>
  </si>
  <si>
    <t>IYF*</t>
  </si>
  <si>
    <t>IYF/XLF</t>
  </si>
  <si>
    <t>IYF/XLF avg</t>
  </si>
  <si>
    <t>IYF/XLF 10 dma</t>
  </si>
  <si>
    <t>IYF/XLF 20 dma</t>
  </si>
  <si>
    <t>XLF x avg</t>
  </si>
  <si>
    <t>XLF x 10 dma</t>
  </si>
  <si>
    <t>XLF x 20 dma</t>
  </si>
  <si>
    <t>log diff XLF x avg / IYF</t>
  </si>
  <si>
    <t>log diff XLF x 10 dma / IYF</t>
  </si>
  <si>
    <t>log diff XLF x 20 dma / IYF</t>
  </si>
  <si>
    <t>IYF*/XLF*</t>
  </si>
  <si>
    <t>IYF*/XLF* avg</t>
  </si>
  <si>
    <t>IYF*/XLF* 10 dma</t>
  </si>
  <si>
    <t>IYF*/XLF* 20 dma</t>
  </si>
  <si>
    <t>XLF* x avg</t>
  </si>
  <si>
    <t>XLF* x 10 dma</t>
  </si>
  <si>
    <t>XLF* x 20 dma</t>
  </si>
  <si>
    <t>log diff XLF* x avg / IYF*</t>
  </si>
  <si>
    <t>log diff XLF* x 10 dma / IYF*</t>
  </si>
  <si>
    <t>log diff XLF* x 20 dma / IYF*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</si>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</sst>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IYF/XLF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2.3814540004427101</c:v>
                </c:pt>
                <c:pt idx="1">
                  <c:v>2.3814540004427101</c:v>
                </c:pt>
                <c:pt idx="2">
                  <c:v>2.3814540004427101</c:v>
                </c:pt>
                <c:pt idx="3">
                  <c:v>2.3814540004427101</c:v>
                </c:pt>
                <c:pt idx="4">
                  <c:v>2.3814540004427101</c:v>
                </c:pt>
                <c:pt idx="5">
                  <c:v>2.3814540004427101</c:v>
                </c:pt>
                <c:pt idx="6">
                  <c:v>2.3814540004427101</c:v>
                </c:pt>
                <c:pt idx="7">
                  <c:v>2.3814540004427101</c:v>
                </c:pt>
                <c:pt idx="8">
                  <c:v>2.3814540004427101</c:v>
                </c:pt>
                <c:pt idx="9">
                  <c:v>2.3814540004427101</c:v>
                </c:pt>
                <c:pt idx="10">
                  <c:v>2.3814540004427101</c:v>
                </c:pt>
                <c:pt idx="11">
                  <c:v>2.3814540004427101</c:v>
                </c:pt>
                <c:pt idx="12">
                  <c:v>2.3814540004427101</c:v>
                </c:pt>
                <c:pt idx="13">
                  <c:v>2.3814540004427101</c:v>
                </c:pt>
                <c:pt idx="14">
                  <c:v>2.3814540004427101</c:v>
                </c:pt>
                <c:pt idx="15">
                  <c:v>2.3814540004427101</c:v>
                </c:pt>
                <c:pt idx="16">
                  <c:v>2.3814540004427101</c:v>
                </c:pt>
                <c:pt idx="17">
                  <c:v>2.3814540004427101</c:v>
                </c:pt>
                <c:pt idx="18">
                  <c:v>2.3814540004427101</c:v>
                </c:pt>
                <c:pt idx="19">
                  <c:v>2.3814540004427101</c:v>
                </c:pt>
                <c:pt idx="20">
                  <c:v>2.3814540004427101</c:v>
                </c:pt>
                <c:pt idx="21">
                  <c:v>2.3814540004427101</c:v>
                </c:pt>
                <c:pt idx="22">
                  <c:v>2.3814540004427101</c:v>
                </c:pt>
                <c:pt idx="23">
                  <c:v>2.3814540004427101</c:v>
                </c:pt>
                <c:pt idx="24">
                  <c:v>2.3814540004427101</c:v>
                </c:pt>
                <c:pt idx="25">
                  <c:v>2.3814540004427101</c:v>
                </c:pt>
                <c:pt idx="26">
                  <c:v>2.3814540004427101</c:v>
                </c:pt>
                <c:pt idx="27">
                  <c:v>2.3814540004427101</c:v>
                </c:pt>
                <c:pt idx="28">
                  <c:v>2.3814540004427101</c:v>
                </c:pt>
                <c:pt idx="29">
                  <c:v>2.3814540004427101</c:v>
                </c:pt>
                <c:pt idx="30">
                  <c:v>2.3814540004427101</c:v>
                </c:pt>
                <c:pt idx="31">
                  <c:v>2.3814540004427101</c:v>
                </c:pt>
                <c:pt idx="32">
                  <c:v>2.3814540004427101</c:v>
                </c:pt>
                <c:pt idx="33">
                  <c:v>2.3814540004427101</c:v>
                </c:pt>
                <c:pt idx="34">
                  <c:v>2.3814540004427101</c:v>
                </c:pt>
                <c:pt idx="35">
                  <c:v>2.3814540004427101</c:v>
                </c:pt>
                <c:pt idx="36">
                  <c:v>2.3814540004427101</c:v>
                </c:pt>
                <c:pt idx="37">
                  <c:v>2.3814540004427101</c:v>
                </c:pt>
                <c:pt idx="38">
                  <c:v>2.3814540004427101</c:v>
                </c:pt>
                <c:pt idx="39">
                  <c:v>2.3814540004427101</c:v>
                </c:pt>
                <c:pt idx="40">
                  <c:v>2.3814540004427101</c:v>
                </c:pt>
                <c:pt idx="41">
                  <c:v>2.3814540004427101</c:v>
                </c:pt>
                <c:pt idx="42">
                  <c:v>2.3814540004427101</c:v>
                </c:pt>
                <c:pt idx="43">
                  <c:v>2.3814540004427101</c:v>
                </c:pt>
                <c:pt idx="44">
                  <c:v>2.3814540004427101</c:v>
                </c:pt>
                <c:pt idx="45">
                  <c:v>2.3814540004427101</c:v>
                </c:pt>
                <c:pt idx="46">
                  <c:v>2.3814540004427101</c:v>
                </c:pt>
                <c:pt idx="47">
                  <c:v>2.3814540004427101</c:v>
                </c:pt>
                <c:pt idx="48">
                  <c:v>2.3814540004427101</c:v>
                </c:pt>
                <c:pt idx="49">
                  <c:v>2.3814540004427101</c:v>
                </c:pt>
                <c:pt idx="50">
                  <c:v>2.3814540004427101</c:v>
                </c:pt>
                <c:pt idx="51">
                  <c:v>2.3814540004427101</c:v>
                </c:pt>
                <c:pt idx="52">
                  <c:v>2.3814540004427101</c:v>
                </c:pt>
                <c:pt idx="53">
                  <c:v>2.3814540004427101</c:v>
                </c:pt>
                <c:pt idx="54">
                  <c:v>2.3814540004427101</c:v>
                </c:pt>
                <c:pt idx="55">
                  <c:v>2.3814540004427101</c:v>
                </c:pt>
                <c:pt idx="56">
                  <c:v>2.3814540004427101</c:v>
                </c:pt>
                <c:pt idx="57">
                  <c:v>2.3814540004427101</c:v>
                </c:pt>
                <c:pt idx="58">
                  <c:v>2.3814540004427101</c:v>
                </c:pt>
                <c:pt idx="59">
                  <c:v>2.3814540004427101</c:v>
                </c:pt>
                <c:pt idx="60">
                  <c:v>2.3814540004427101</c:v>
                </c:pt>
                <c:pt idx="61">
                  <c:v>2.3814540004427101</c:v>
                </c:pt>
                <c:pt idx="62">
                  <c:v>2.3814540004427101</c:v>
                </c:pt>
                <c:pt idx="63">
                  <c:v>2.3814540004427101</c:v>
                </c:pt>
                <c:pt idx="64">
                  <c:v>2.3814540004427101</c:v>
                </c:pt>
                <c:pt idx="65">
                  <c:v>2.3814540004427101</c:v>
                </c:pt>
                <c:pt idx="66">
                  <c:v>2.3814540004427101</c:v>
                </c:pt>
                <c:pt idx="67">
                  <c:v>2.3814540004427101</c:v>
                </c:pt>
                <c:pt idx="68">
                  <c:v>2.3814540004427101</c:v>
                </c:pt>
                <c:pt idx="69">
                  <c:v>2.3814540004427101</c:v>
                </c:pt>
                <c:pt idx="70">
                  <c:v>2.3814540004427101</c:v>
                </c:pt>
                <c:pt idx="71">
                  <c:v>2.3814540004427101</c:v>
                </c:pt>
                <c:pt idx="72">
                  <c:v>2.3814540004427101</c:v>
                </c:pt>
                <c:pt idx="73">
                  <c:v>2.3814540004427101</c:v>
                </c:pt>
                <c:pt idx="74">
                  <c:v>2.3814540004427101</c:v>
                </c:pt>
                <c:pt idx="75">
                  <c:v>2.3814540004427101</c:v>
                </c:pt>
                <c:pt idx="76">
                  <c:v>2.3814540004427101</c:v>
                </c:pt>
                <c:pt idx="77">
                  <c:v>2.3814540004427101</c:v>
                </c:pt>
                <c:pt idx="78">
                  <c:v>2.3814540004427101</c:v>
                </c:pt>
                <c:pt idx="79">
                  <c:v>2.3814540004427101</c:v>
                </c:pt>
                <c:pt idx="80">
                  <c:v>2.3814540004427101</c:v>
                </c:pt>
                <c:pt idx="81">
                  <c:v>2.3814540004427101</c:v>
                </c:pt>
                <c:pt idx="82">
                  <c:v>2.3814540004427101</c:v>
                </c:pt>
                <c:pt idx="83">
                  <c:v>2.3814540004427101</c:v>
                </c:pt>
                <c:pt idx="84">
                  <c:v>2.3814540004427101</c:v>
                </c:pt>
                <c:pt idx="85">
                  <c:v>2.3814540004427101</c:v>
                </c:pt>
                <c:pt idx="86">
                  <c:v>2.3814540004427101</c:v>
                </c:pt>
                <c:pt idx="87">
                  <c:v>2.3814540004427101</c:v>
                </c:pt>
                <c:pt idx="88">
                  <c:v>2.3814540004427101</c:v>
                </c:pt>
                <c:pt idx="89">
                  <c:v>2.3814540004427101</c:v>
                </c:pt>
                <c:pt idx="90">
                  <c:v>2.3814540004427101</c:v>
                </c:pt>
                <c:pt idx="91">
                  <c:v>2.3814540004427101</c:v>
                </c:pt>
                <c:pt idx="92">
                  <c:v>2.3814540004427101</c:v>
                </c:pt>
                <c:pt idx="93">
                  <c:v>2.3814540004427101</c:v>
                </c:pt>
                <c:pt idx="94">
                  <c:v>2.3814540004427101</c:v>
                </c:pt>
                <c:pt idx="95">
                  <c:v>2.3814540004427101</c:v>
                </c:pt>
                <c:pt idx="96">
                  <c:v>2.3814540004427101</c:v>
                </c:pt>
                <c:pt idx="97">
                  <c:v>2.3814540004427101</c:v>
                </c:pt>
                <c:pt idx="98">
                  <c:v>2.3814540004427101</c:v>
                </c:pt>
                <c:pt idx="99">
                  <c:v>2.3814540004427101</c:v>
                </c:pt>
                <c:pt idx="100">
                  <c:v>2.3814540004427101</c:v>
                </c:pt>
                <c:pt idx="101">
                  <c:v>2.3814540004427101</c:v>
                </c:pt>
                <c:pt idx="102">
                  <c:v>2.3814540004427101</c:v>
                </c:pt>
                <c:pt idx="103">
                  <c:v>2.3814540004427101</c:v>
                </c:pt>
                <c:pt idx="104">
                  <c:v>2.3814540004427101</c:v>
                </c:pt>
                <c:pt idx="105">
                  <c:v>2.3814540004427101</c:v>
                </c:pt>
                <c:pt idx="106">
                  <c:v>2.3814540004427101</c:v>
                </c:pt>
                <c:pt idx="107">
                  <c:v>2.3814540004427101</c:v>
                </c:pt>
                <c:pt idx="108">
                  <c:v>2.3814540004427101</c:v>
                </c:pt>
                <c:pt idx="109">
                  <c:v>2.3814540004427101</c:v>
                </c:pt>
                <c:pt idx="110">
                  <c:v>2.3814540004427101</c:v>
                </c:pt>
                <c:pt idx="111">
                  <c:v>2.3814540004427101</c:v>
                </c:pt>
                <c:pt idx="112">
                  <c:v>2.3814540004427101</c:v>
                </c:pt>
                <c:pt idx="113">
                  <c:v>2.3814540004427101</c:v>
                </c:pt>
                <c:pt idx="114">
                  <c:v>2.3814540004427101</c:v>
                </c:pt>
                <c:pt idx="115">
                  <c:v>2.3814540004427101</c:v>
                </c:pt>
                <c:pt idx="116">
                  <c:v>2.3814540004427101</c:v>
                </c:pt>
                <c:pt idx="117">
                  <c:v>2.3814540004427101</c:v>
                </c:pt>
                <c:pt idx="118">
                  <c:v>2.3814540004427101</c:v>
                </c:pt>
                <c:pt idx="119">
                  <c:v>2.3814540004427101</c:v>
                </c:pt>
                <c:pt idx="120">
                  <c:v>2.3814540004427101</c:v>
                </c:pt>
                <c:pt idx="121">
                  <c:v>2.3814540004427101</c:v>
                </c:pt>
                <c:pt idx="122">
                  <c:v>2.3814540004427101</c:v>
                </c:pt>
                <c:pt idx="123">
                  <c:v>2.3814540004427101</c:v>
                </c:pt>
                <c:pt idx="124">
                  <c:v>2.3814540004427101</c:v>
                </c:pt>
                <c:pt idx="125">
                  <c:v>2.3814540004427101</c:v>
                </c:pt>
                <c:pt idx="126">
                  <c:v>2.3814540004427101</c:v>
                </c:pt>
                <c:pt idx="127">
                  <c:v>2.3814540004427101</c:v>
                </c:pt>
                <c:pt idx="128">
                  <c:v>2.3814540004427101</c:v>
                </c:pt>
                <c:pt idx="129">
                  <c:v>2.3814540004427101</c:v>
                </c:pt>
                <c:pt idx="130">
                  <c:v>2.3814540004427101</c:v>
                </c:pt>
                <c:pt idx="131">
                  <c:v>2.3814540004427101</c:v>
                </c:pt>
                <c:pt idx="132">
                  <c:v>2.3814540004427101</c:v>
                </c:pt>
                <c:pt idx="133">
                  <c:v>2.3814540004427101</c:v>
                </c:pt>
                <c:pt idx="134">
                  <c:v>2.3814540004427101</c:v>
                </c:pt>
                <c:pt idx="135">
                  <c:v>2.3814540004427101</c:v>
                </c:pt>
                <c:pt idx="136">
                  <c:v>2.3814540004427101</c:v>
                </c:pt>
                <c:pt idx="137">
                  <c:v>2.3814540004427101</c:v>
                </c:pt>
                <c:pt idx="138">
                  <c:v>2.3814540004427101</c:v>
                </c:pt>
                <c:pt idx="139">
                  <c:v>2.3814540004427101</c:v>
                </c:pt>
                <c:pt idx="140">
                  <c:v>2.3814540004427101</c:v>
                </c:pt>
                <c:pt idx="141">
                  <c:v>2.3814540004427101</c:v>
                </c:pt>
                <c:pt idx="142">
                  <c:v>2.3814540004427101</c:v>
                </c:pt>
                <c:pt idx="143">
                  <c:v>2.3814540004427101</c:v>
                </c:pt>
                <c:pt idx="144">
                  <c:v>2.3814540004427101</c:v>
                </c:pt>
                <c:pt idx="145">
                  <c:v>2.3814540004427101</c:v>
                </c:pt>
                <c:pt idx="146">
                  <c:v>2.3814540004427101</c:v>
                </c:pt>
                <c:pt idx="147">
                  <c:v>2.3814540004427101</c:v>
                </c:pt>
                <c:pt idx="148">
                  <c:v>2.3814540004427101</c:v>
                </c:pt>
                <c:pt idx="149">
                  <c:v>2.3814540004427101</c:v>
                </c:pt>
                <c:pt idx="150">
                  <c:v>2.3814540004427101</c:v>
                </c:pt>
                <c:pt idx="151">
                  <c:v>2.3814540004427101</c:v>
                </c:pt>
                <c:pt idx="152">
                  <c:v>2.3814540004427101</c:v>
                </c:pt>
                <c:pt idx="153">
                  <c:v>2.3814540004427101</c:v>
                </c:pt>
                <c:pt idx="154">
                  <c:v>2.3814540004427101</c:v>
                </c:pt>
                <c:pt idx="155">
                  <c:v>2.3814540004427101</c:v>
                </c:pt>
                <c:pt idx="156">
                  <c:v>2.3814540004427101</c:v>
                </c:pt>
                <c:pt idx="157">
                  <c:v>2.3814540004427101</c:v>
                </c:pt>
                <c:pt idx="158">
                  <c:v>2.3814540004427101</c:v>
                </c:pt>
                <c:pt idx="159">
                  <c:v>2.3814540004427101</c:v>
                </c:pt>
                <c:pt idx="160">
                  <c:v>2.3814540004427101</c:v>
                </c:pt>
                <c:pt idx="161">
                  <c:v>2.3814540004427101</c:v>
                </c:pt>
                <c:pt idx="162">
                  <c:v>2.3814540004427101</c:v>
                </c:pt>
                <c:pt idx="163">
                  <c:v>2.3814540004427101</c:v>
                </c:pt>
                <c:pt idx="164">
                  <c:v>2.3814540004427101</c:v>
                </c:pt>
                <c:pt idx="165">
                  <c:v>2.3814540004427101</c:v>
                </c:pt>
                <c:pt idx="166">
                  <c:v>2.3814540004427101</c:v>
                </c:pt>
                <c:pt idx="167">
                  <c:v>2.3814540004427101</c:v>
                </c:pt>
                <c:pt idx="168">
                  <c:v>2.3814540004427101</c:v>
                </c:pt>
                <c:pt idx="169">
                  <c:v>2.3814540004427101</c:v>
                </c:pt>
                <c:pt idx="170">
                  <c:v>2.3814540004427101</c:v>
                </c:pt>
                <c:pt idx="171">
                  <c:v>2.3814540004427101</c:v>
                </c:pt>
                <c:pt idx="172">
                  <c:v>2.3814540004427101</c:v>
                </c:pt>
                <c:pt idx="173">
                  <c:v>2.3814540004427101</c:v>
                </c:pt>
                <c:pt idx="174">
                  <c:v>2.3814540004427101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5-40B4-8A82-5148D481B586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IYF/XLF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2.3767018773166102</c:v>
                </c:pt>
                <c:pt idx="51">
                  <c:v>2.3758875527152501</c:v>
                </c:pt>
                <c:pt idx="52">
                  <c:v>2.3751820503474401</c:v>
                </c:pt>
                <c:pt idx="53">
                  <c:v>2.3744086342026498</c:v>
                </c:pt>
                <c:pt idx="54">
                  <c:v>2.3747721533848201</c:v>
                </c:pt>
                <c:pt idx="55">
                  <c:v>2.3751255928937698</c:v>
                </c:pt>
                <c:pt idx="56">
                  <c:v>2.3752744310465101</c:v>
                </c:pt>
                <c:pt idx="57">
                  <c:v>2.3754516378278998</c:v>
                </c:pt>
                <c:pt idx="58">
                  <c:v>2.3764226782980198</c:v>
                </c:pt>
                <c:pt idx="59">
                  <c:v>2.3769019690131898</c:v>
                </c:pt>
                <c:pt idx="60">
                  <c:v>2.3784613181848302</c:v>
                </c:pt>
                <c:pt idx="61">
                  <c:v>2.3796817916534998</c:v>
                </c:pt>
                <c:pt idx="62">
                  <c:v>2.3812926223784201</c:v>
                </c:pt>
                <c:pt idx="63">
                  <c:v>2.3833080543622001</c:v>
                </c:pt>
                <c:pt idx="64">
                  <c:v>2.3844069083766</c:v>
                </c:pt>
                <c:pt idx="65">
                  <c:v>2.3854012265584199</c:v>
                </c:pt>
                <c:pt idx="66">
                  <c:v>2.3867154178341701</c:v>
                </c:pt>
                <c:pt idx="67">
                  <c:v>2.3881087936890202</c:v>
                </c:pt>
                <c:pt idx="68">
                  <c:v>2.38880860533052</c:v>
                </c:pt>
                <c:pt idx="69">
                  <c:v>2.3900710805669401</c:v>
                </c:pt>
                <c:pt idx="70">
                  <c:v>2.3906594641056</c:v>
                </c:pt>
                <c:pt idx="71">
                  <c:v>2.3907271606112901</c:v>
                </c:pt>
                <c:pt idx="72">
                  <c:v>2.3907417243654301</c:v>
                </c:pt>
                <c:pt idx="73">
                  <c:v>2.3910486513759701</c:v>
                </c:pt>
                <c:pt idx="74">
                  <c:v>2.3914950075255601</c:v>
                </c:pt>
                <c:pt idx="75">
                  <c:v>2.3916778628214899</c:v>
                </c:pt>
                <c:pt idx="76">
                  <c:v>2.3921516199550901</c:v>
                </c:pt>
                <c:pt idx="77">
                  <c:v>2.3926267801236598</c:v>
                </c:pt>
                <c:pt idx="78">
                  <c:v>2.39307331027346</c:v>
                </c:pt>
                <c:pt idx="79">
                  <c:v>2.39371474519973</c:v>
                </c:pt>
                <c:pt idx="80">
                  <c:v>2.3920338479138898</c:v>
                </c:pt>
                <c:pt idx="81">
                  <c:v>2.3916907399244698</c:v>
                </c:pt>
                <c:pt idx="82">
                  <c:v>2.3912269768088099</c:v>
                </c:pt>
                <c:pt idx="83">
                  <c:v>2.3902599001036</c:v>
                </c:pt>
                <c:pt idx="84">
                  <c:v>2.3898545456338698</c:v>
                </c:pt>
                <c:pt idx="85">
                  <c:v>2.39025039404165</c:v>
                </c:pt>
                <c:pt idx="86">
                  <c:v>2.3892792448406301</c:v>
                </c:pt>
                <c:pt idx="87">
                  <c:v>2.3887750624495698</c:v>
                </c:pt>
                <c:pt idx="88">
                  <c:v>2.38787462204973</c:v>
                </c:pt>
                <c:pt idx="89">
                  <c:v>2.3865320072128098</c:v>
                </c:pt>
                <c:pt idx="90">
                  <c:v>2.38809357280575</c:v>
                </c:pt>
                <c:pt idx="91">
                  <c:v>2.3884124660206898</c:v>
                </c:pt>
                <c:pt idx="92">
                  <c:v>2.38809250968262</c:v>
                </c:pt>
                <c:pt idx="93">
                  <c:v>2.3876071811999</c:v>
                </c:pt>
                <c:pt idx="94">
                  <c:v>2.3862605254022098</c:v>
                </c:pt>
                <c:pt idx="95">
                  <c:v>2.38465648778446</c:v>
                </c:pt>
                <c:pt idx="96">
                  <c:v>2.3844249003226601</c:v>
                </c:pt>
                <c:pt idx="97">
                  <c:v>2.3834523616010199</c:v>
                </c:pt>
                <c:pt idx="98">
                  <c:v>2.38358940886702</c:v>
                </c:pt>
                <c:pt idx="99">
                  <c:v>2.3833784855566602</c:v>
                </c:pt>
                <c:pt idx="100">
                  <c:v>2.3828740631342802</c:v>
                </c:pt>
                <c:pt idx="101">
                  <c:v>2.3822291811212302</c:v>
                </c:pt>
                <c:pt idx="102">
                  <c:v>2.3822363422617299</c:v>
                </c:pt>
                <c:pt idx="103">
                  <c:v>2.3835880363055102</c:v>
                </c:pt>
                <c:pt idx="104">
                  <c:v>2.3848794829422499</c:v>
                </c:pt>
                <c:pt idx="105">
                  <c:v>2.3859877470153399</c:v>
                </c:pt>
                <c:pt idx="106">
                  <c:v>2.3864471850667899</c:v>
                </c:pt>
                <c:pt idx="107">
                  <c:v>2.38731018332065</c:v>
                </c:pt>
                <c:pt idx="108">
                  <c:v>2.3875835568713701</c:v>
                </c:pt>
                <c:pt idx="109">
                  <c:v>2.3887708933784402</c:v>
                </c:pt>
                <c:pt idx="110">
                  <c:v>2.39052520501453</c:v>
                </c:pt>
                <c:pt idx="111">
                  <c:v>2.3923958489467401</c:v>
                </c:pt>
                <c:pt idx="112">
                  <c:v>2.3930951179633899</c:v>
                </c:pt>
                <c:pt idx="113">
                  <c:v>2.3924349183317402</c:v>
                </c:pt>
                <c:pt idx="114">
                  <c:v>2.3917996373457799</c:v>
                </c:pt>
                <c:pt idx="115">
                  <c:v>2.3908658928316902</c:v>
                </c:pt>
                <c:pt idx="116">
                  <c:v>2.39126425352829</c:v>
                </c:pt>
                <c:pt idx="117">
                  <c:v>2.3916565369811802</c:v>
                </c:pt>
                <c:pt idx="118">
                  <c:v>2.3912244168025301</c:v>
                </c:pt>
                <c:pt idx="119">
                  <c:v>2.3905486835961498</c:v>
                </c:pt>
                <c:pt idx="120">
                  <c:v>2.3891665719900601</c:v>
                </c:pt>
                <c:pt idx="121">
                  <c:v>2.3868541330106798</c:v>
                </c:pt>
                <c:pt idx="122">
                  <c:v>2.3857172328832301</c:v>
                </c:pt>
                <c:pt idx="123">
                  <c:v>2.3850507180323199</c:v>
                </c:pt>
                <c:pt idx="124">
                  <c:v>2.3837132659614602</c:v>
                </c:pt>
                <c:pt idx="125">
                  <c:v>2.3835136928922198</c:v>
                </c:pt>
                <c:pt idx="126">
                  <c:v>2.3824682044433199</c:v>
                </c:pt>
                <c:pt idx="127">
                  <c:v>2.3816104476511</c:v>
                </c:pt>
                <c:pt idx="128">
                  <c:v>2.3815510363770702</c:v>
                </c:pt>
                <c:pt idx="129">
                  <c:v>2.3814323978106202</c:v>
                </c:pt>
                <c:pt idx="130">
                  <c:v>2.3805112413280098</c:v>
                </c:pt>
                <c:pt idx="131">
                  <c:v>2.38063818676215</c:v>
                </c:pt>
                <c:pt idx="132">
                  <c:v>2.3805913360062498</c:v>
                </c:pt>
                <c:pt idx="133">
                  <c:v>2.3799687189863001</c:v>
                </c:pt>
                <c:pt idx="134">
                  <c:v>2.3803640045006098</c:v>
                </c:pt>
                <c:pt idx="135">
                  <c:v>2.37953961497987</c:v>
                </c:pt>
                <c:pt idx="136">
                  <c:v>2.3786609566925199</c:v>
                </c:pt>
                <c:pt idx="137">
                  <c:v>2.3777184297736902</c:v>
                </c:pt>
                <c:pt idx="138">
                  <c:v>2.3770882242995</c:v>
                </c:pt>
                <c:pt idx="139">
                  <c:v>2.3765166040271901</c:v>
                </c:pt>
                <c:pt idx="140">
                  <c:v>2.3764187098939602</c:v>
                </c:pt>
                <c:pt idx="141">
                  <c:v>2.3758842114069498</c:v>
                </c:pt>
                <c:pt idx="142">
                  <c:v>2.3748161791576101</c:v>
                </c:pt>
                <c:pt idx="143">
                  <c:v>2.3741446434902498</c:v>
                </c:pt>
                <c:pt idx="144">
                  <c:v>2.3730994185442502</c:v>
                </c:pt>
                <c:pt idx="145">
                  <c:v>2.3727886561027498</c:v>
                </c:pt>
                <c:pt idx="146">
                  <c:v>2.3721435366888999</c:v>
                </c:pt>
                <c:pt idx="147">
                  <c:v>2.3713386057467001</c:v>
                </c:pt>
                <c:pt idx="148">
                  <c:v>2.3700392725068702</c:v>
                </c:pt>
                <c:pt idx="149">
                  <c:v>2.3695684968897499</c:v>
                </c:pt>
                <c:pt idx="150">
                  <c:v>2.3695165023959301</c:v>
                </c:pt>
                <c:pt idx="151">
                  <c:v>2.3698371122575201</c:v>
                </c:pt>
                <c:pt idx="152">
                  <c:v>2.3709153522166599</c:v>
                </c:pt>
                <c:pt idx="153">
                  <c:v>2.3722213489283202</c:v>
                </c:pt>
                <c:pt idx="154">
                  <c:v>2.3735194587657</c:v>
                </c:pt>
                <c:pt idx="155">
                  <c:v>2.37458970204248</c:v>
                </c:pt>
                <c:pt idx="156">
                  <c:v>2.3749263789655002</c:v>
                </c:pt>
                <c:pt idx="157">
                  <c:v>2.37489560364335</c:v>
                </c:pt>
                <c:pt idx="158">
                  <c:v>2.3749923208266899</c:v>
                </c:pt>
                <c:pt idx="159">
                  <c:v>2.3742705480361499</c:v>
                </c:pt>
                <c:pt idx="160">
                  <c:v>2.3726145647397301</c:v>
                </c:pt>
                <c:pt idx="161">
                  <c:v>2.3709817603574699</c:v>
                </c:pt>
                <c:pt idx="162">
                  <c:v>2.3692677942918401</c:v>
                </c:pt>
                <c:pt idx="163">
                  <c:v>2.3680124892714098</c:v>
                </c:pt>
                <c:pt idx="164">
                  <c:v>2.36662292827639</c:v>
                </c:pt>
                <c:pt idx="165">
                  <c:v>2.36515120523869</c:v>
                </c:pt>
                <c:pt idx="166">
                  <c:v>2.3646929843447899</c:v>
                </c:pt>
                <c:pt idx="167">
                  <c:v>2.3640746812404898</c:v>
                </c:pt>
                <c:pt idx="168">
                  <c:v>2.3646016330292801</c:v>
                </c:pt>
                <c:pt idx="169">
                  <c:v>2.3652751771910201</c:v>
                </c:pt>
                <c:pt idx="170">
                  <c:v>2.3668119669929499</c:v>
                </c:pt>
                <c:pt idx="171">
                  <c:v>2.3680394371007201</c:v>
                </c:pt>
                <c:pt idx="172">
                  <c:v>2.3691678802571601</c:v>
                </c:pt>
                <c:pt idx="173">
                  <c:v>2.3694646182755901</c:v>
                </c:pt>
                <c:pt idx="174">
                  <c:v>2.3697615239413898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5-40B4-8A82-5148D481B586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IYF/XLF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2.3840449288889101</c:v>
                </c:pt>
                <c:pt idx="51">
                  <c:v>2.3832274538003499</c:v>
                </c:pt>
                <c:pt idx="52">
                  <c:v>2.3823290686445602</c:v>
                </c:pt>
                <c:pt idx="53">
                  <c:v>2.3813538062318602</c:v>
                </c:pt>
                <c:pt idx="54">
                  <c:v>2.3804421359002199</c:v>
                </c:pt>
                <c:pt idx="55">
                  <c:v>2.3794781883628602</c:v>
                </c:pt>
                <c:pt idx="56">
                  <c:v>2.37876526710239</c:v>
                </c:pt>
                <c:pt idx="57">
                  <c:v>2.3780595149544399</c:v>
                </c:pt>
                <c:pt idx="58">
                  <c:v>2.3780596633967099</c:v>
                </c:pt>
                <c:pt idx="59">
                  <c:v>2.3775765784441898</c:v>
                </c:pt>
                <c:pt idx="60">
                  <c:v>2.3775815977507202</c:v>
                </c:pt>
                <c:pt idx="61">
                  <c:v>2.3777846721843798</c:v>
                </c:pt>
                <c:pt idx="62">
                  <c:v>2.3782373363629299</c:v>
                </c:pt>
                <c:pt idx="63">
                  <c:v>2.3788583442824298</c:v>
                </c:pt>
                <c:pt idx="64">
                  <c:v>2.3795895308807098</c:v>
                </c:pt>
                <c:pt idx="65">
                  <c:v>2.3802634097261</c:v>
                </c:pt>
                <c:pt idx="66">
                  <c:v>2.3809949244403401</c:v>
                </c:pt>
                <c:pt idx="67">
                  <c:v>2.38178021575846</c:v>
                </c:pt>
                <c:pt idx="68">
                  <c:v>2.3826156418142701</c:v>
                </c:pt>
                <c:pt idx="69">
                  <c:v>2.3834865247900701</c:v>
                </c:pt>
                <c:pt idx="70">
                  <c:v>2.3845603911452198</c:v>
                </c:pt>
                <c:pt idx="71">
                  <c:v>2.3852044761323898</c:v>
                </c:pt>
                <c:pt idx="72">
                  <c:v>2.3860171733719202</c:v>
                </c:pt>
                <c:pt idx="73">
                  <c:v>2.38717835286909</c:v>
                </c:pt>
                <c:pt idx="74">
                  <c:v>2.3879509579510798</c:v>
                </c:pt>
                <c:pt idx="75">
                  <c:v>2.3885395446899498</c:v>
                </c:pt>
                <c:pt idx="76">
                  <c:v>2.3894335188946298</c:v>
                </c:pt>
                <c:pt idx="77">
                  <c:v>2.39036778690634</c:v>
                </c:pt>
                <c:pt idx="78">
                  <c:v>2.3909409578019898</c:v>
                </c:pt>
                <c:pt idx="79">
                  <c:v>2.3918929128833302</c:v>
                </c:pt>
                <c:pt idx="80">
                  <c:v>2.39134665600975</c:v>
                </c:pt>
                <c:pt idx="81">
                  <c:v>2.3912089502678802</c:v>
                </c:pt>
                <c:pt idx="82">
                  <c:v>2.3909843505871202</c:v>
                </c:pt>
                <c:pt idx="83">
                  <c:v>2.3906542757397902</c:v>
                </c:pt>
                <c:pt idx="84">
                  <c:v>2.3906747765797198</c:v>
                </c:pt>
                <c:pt idx="85">
                  <c:v>2.3909641284315701</c:v>
                </c:pt>
                <c:pt idx="86">
                  <c:v>2.3907154323978599</c:v>
                </c:pt>
                <c:pt idx="87">
                  <c:v>2.3907009212866099</c:v>
                </c:pt>
                <c:pt idx="88">
                  <c:v>2.3904739661615899</c:v>
                </c:pt>
                <c:pt idx="89">
                  <c:v>2.3901233762062701</c:v>
                </c:pt>
                <c:pt idx="90">
                  <c:v>2.3900637103598199</c:v>
                </c:pt>
                <c:pt idx="91">
                  <c:v>2.39005160297258</c:v>
                </c:pt>
                <c:pt idx="92">
                  <c:v>2.3896597432457201</c:v>
                </c:pt>
                <c:pt idx="93">
                  <c:v>2.3889335406517498</c:v>
                </c:pt>
                <c:pt idx="94">
                  <c:v>2.38805753551804</c:v>
                </c:pt>
                <c:pt idx="95">
                  <c:v>2.3874534409130499</c:v>
                </c:pt>
                <c:pt idx="96">
                  <c:v>2.38685207258164</c:v>
                </c:pt>
                <c:pt idx="97">
                  <c:v>2.3861137120252902</c:v>
                </c:pt>
                <c:pt idx="98">
                  <c:v>2.3857320154583701</c:v>
                </c:pt>
                <c:pt idx="99">
                  <c:v>2.3849552463847301</c:v>
                </c:pt>
                <c:pt idx="100">
                  <c:v>2.3854838179700102</c:v>
                </c:pt>
                <c:pt idx="101">
                  <c:v>2.38532082357096</c:v>
                </c:pt>
                <c:pt idx="102">
                  <c:v>2.3851644259721798</c:v>
                </c:pt>
                <c:pt idx="103">
                  <c:v>2.3855976087527102</c:v>
                </c:pt>
                <c:pt idx="104">
                  <c:v>2.3855700041722301</c:v>
                </c:pt>
                <c:pt idx="105">
                  <c:v>2.3853221173999</c:v>
                </c:pt>
                <c:pt idx="106">
                  <c:v>2.3854360426947299</c:v>
                </c:pt>
                <c:pt idx="107">
                  <c:v>2.3853812724608301</c:v>
                </c:pt>
                <c:pt idx="108">
                  <c:v>2.38558648286919</c:v>
                </c:pt>
                <c:pt idx="109">
                  <c:v>2.38607468946755</c:v>
                </c:pt>
                <c:pt idx="110">
                  <c:v>2.38669963407441</c:v>
                </c:pt>
                <c:pt idx="111">
                  <c:v>2.3873125150339898</c:v>
                </c:pt>
                <c:pt idx="112">
                  <c:v>2.3876657301125599</c:v>
                </c:pt>
                <c:pt idx="113">
                  <c:v>2.3880114773186301</c:v>
                </c:pt>
                <c:pt idx="114">
                  <c:v>2.3883395601440198</c:v>
                </c:pt>
                <c:pt idx="115">
                  <c:v>2.3884268199235201</c:v>
                </c:pt>
                <c:pt idx="116">
                  <c:v>2.3888557192975401</c:v>
                </c:pt>
                <c:pt idx="117">
                  <c:v>2.38948336015092</c:v>
                </c:pt>
                <c:pt idx="118">
                  <c:v>2.3894039868369501</c:v>
                </c:pt>
                <c:pt idx="119">
                  <c:v>2.3896597884872901</c:v>
                </c:pt>
                <c:pt idx="120">
                  <c:v>2.3898458885023</c:v>
                </c:pt>
                <c:pt idx="121">
                  <c:v>2.3896249909787102</c:v>
                </c:pt>
                <c:pt idx="122">
                  <c:v>2.3894061754233098</c:v>
                </c:pt>
                <c:pt idx="123">
                  <c:v>2.3887428181820298</c:v>
                </c:pt>
                <c:pt idx="124">
                  <c:v>2.3877564516536198</c:v>
                </c:pt>
                <c:pt idx="125">
                  <c:v>2.3871897928619501</c:v>
                </c:pt>
                <c:pt idx="126">
                  <c:v>2.3868662289858098</c:v>
                </c:pt>
                <c:pt idx="127">
                  <c:v>2.3866334923161401</c:v>
                </c:pt>
                <c:pt idx="128">
                  <c:v>2.3863877265897999</c:v>
                </c:pt>
                <c:pt idx="129">
                  <c:v>2.3859905407033799</c:v>
                </c:pt>
                <c:pt idx="130">
                  <c:v>2.3848389066590401</c:v>
                </c:pt>
                <c:pt idx="131">
                  <c:v>2.38374615988642</c:v>
                </c:pt>
                <c:pt idx="132">
                  <c:v>2.38315428444474</c:v>
                </c:pt>
                <c:pt idx="133">
                  <c:v>2.38250971850931</c:v>
                </c:pt>
                <c:pt idx="134">
                  <c:v>2.3820386352310399</c:v>
                </c:pt>
                <c:pt idx="135">
                  <c:v>2.38152665393604</c:v>
                </c:pt>
                <c:pt idx="136">
                  <c:v>2.3805645805679201</c:v>
                </c:pt>
                <c:pt idx="137">
                  <c:v>2.37966443871239</c:v>
                </c:pt>
                <c:pt idx="138">
                  <c:v>2.3793196303382902</c:v>
                </c:pt>
                <c:pt idx="139">
                  <c:v>2.3789745009189098</c:v>
                </c:pt>
                <c:pt idx="140">
                  <c:v>2.3784649756109801</c:v>
                </c:pt>
                <c:pt idx="141">
                  <c:v>2.3782611990845499</c:v>
                </c:pt>
                <c:pt idx="142">
                  <c:v>2.37770375758193</c:v>
                </c:pt>
                <c:pt idx="143">
                  <c:v>2.3770566812382801</c:v>
                </c:pt>
                <c:pt idx="144">
                  <c:v>2.3767317115224298</c:v>
                </c:pt>
                <c:pt idx="145">
                  <c:v>2.3761641355413099</c:v>
                </c:pt>
                <c:pt idx="146">
                  <c:v>2.3754022466907099</c:v>
                </c:pt>
                <c:pt idx="147">
                  <c:v>2.3745285177601998</c:v>
                </c:pt>
                <c:pt idx="148">
                  <c:v>2.37356374840319</c:v>
                </c:pt>
                <c:pt idx="149">
                  <c:v>2.3730425504584698</c:v>
                </c:pt>
                <c:pt idx="150">
                  <c:v>2.3729676061449401</c:v>
                </c:pt>
                <c:pt idx="151">
                  <c:v>2.3728606618322399</c:v>
                </c:pt>
                <c:pt idx="152">
                  <c:v>2.3728657656871399</c:v>
                </c:pt>
                <c:pt idx="153">
                  <c:v>2.3731829962092799</c:v>
                </c:pt>
                <c:pt idx="154">
                  <c:v>2.37330943865497</c:v>
                </c:pt>
                <c:pt idx="155">
                  <c:v>2.3736891790726098</c:v>
                </c:pt>
                <c:pt idx="156">
                  <c:v>2.3735349578272</c:v>
                </c:pt>
                <c:pt idx="157">
                  <c:v>2.3731171046950199</c:v>
                </c:pt>
                <c:pt idx="158">
                  <c:v>2.37251579666678</c:v>
                </c:pt>
                <c:pt idx="159">
                  <c:v>2.3719195224629499</c:v>
                </c:pt>
                <c:pt idx="160">
                  <c:v>2.3710655335678301</c:v>
                </c:pt>
                <c:pt idx="161">
                  <c:v>2.3704094363074999</c:v>
                </c:pt>
                <c:pt idx="162">
                  <c:v>2.3700915732542498</c:v>
                </c:pt>
                <c:pt idx="163">
                  <c:v>2.3701169190998601</c:v>
                </c:pt>
                <c:pt idx="164">
                  <c:v>2.3700711935210399</c:v>
                </c:pt>
                <c:pt idx="165">
                  <c:v>2.3698704536405901</c:v>
                </c:pt>
                <c:pt idx="166">
                  <c:v>2.3698096816551399</c:v>
                </c:pt>
                <c:pt idx="167">
                  <c:v>2.3694851424419201</c:v>
                </c:pt>
                <c:pt idx="168">
                  <c:v>2.3697969769279799</c:v>
                </c:pt>
                <c:pt idx="169">
                  <c:v>2.3697728626135799</c:v>
                </c:pt>
                <c:pt idx="170">
                  <c:v>2.36971326586634</c:v>
                </c:pt>
                <c:pt idx="171">
                  <c:v>2.3695105987290899</c:v>
                </c:pt>
                <c:pt idx="172">
                  <c:v>2.3692178372744999</c:v>
                </c:pt>
                <c:pt idx="173">
                  <c:v>2.3687385537735</c:v>
                </c:pt>
                <c:pt idx="174">
                  <c:v>2.3681922261088899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15-40B4-8A82-5148D481B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XLF* x avg / IYF*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6.8683034204983099E-3</c:v>
                </c:pt>
                <c:pt idx="2">
                  <c:v>1.0011528039663001E-2</c:v>
                </c:pt>
                <c:pt idx="3">
                  <c:v>1.2279336286692999E-2</c:v>
                </c:pt>
                <c:pt idx="4">
                  <c:v>1.02461312626592E-2</c:v>
                </c:pt>
                <c:pt idx="5">
                  <c:v>8.9470780179924103E-3</c:v>
                </c:pt>
                <c:pt idx="6">
                  <c:v>4.75202647579111E-3</c:v>
                </c:pt>
                <c:pt idx="7">
                  <c:v>7.3812720298472795E-5</c:v>
                </c:pt>
                <c:pt idx="8">
                  <c:v>-8.5410772641605505E-5</c:v>
                </c:pt>
                <c:pt idx="9">
                  <c:v>-1.9825614518697598E-3</c:v>
                </c:pt>
                <c:pt idx="10">
                  <c:v>-1.3122476656668601E-3</c:v>
                </c:pt>
                <c:pt idx="11">
                  <c:v>-1.8434140456850901E-3</c:v>
                </c:pt>
                <c:pt idx="12">
                  <c:v>-3.79781575395909E-3</c:v>
                </c:pt>
                <c:pt idx="13">
                  <c:v>-1.8774485844505E-3</c:v>
                </c:pt>
                <c:pt idx="14">
                  <c:v>-2.55554449676555E-3</c:v>
                </c:pt>
                <c:pt idx="15">
                  <c:v>-2.14843804094822E-3</c:v>
                </c:pt>
                <c:pt idx="16">
                  <c:v>-4.58534696236001E-3</c:v>
                </c:pt>
                <c:pt idx="17">
                  <c:v>-4.0641248318983702E-3</c:v>
                </c:pt>
                <c:pt idx="18">
                  <c:v>-1.33307319541984E-3</c:v>
                </c:pt>
                <c:pt idx="19">
                  <c:v>-3.2327360526996701E-3</c:v>
                </c:pt>
                <c:pt idx="20">
                  <c:v>9.5744251722062503E-4</c:v>
                </c:pt>
                <c:pt idx="21">
                  <c:v>-1.3933915388050699E-3</c:v>
                </c:pt>
                <c:pt idx="22">
                  <c:v>-1.4272825643276701E-3</c:v>
                </c:pt>
                <c:pt idx="23">
                  <c:v>-1.53114084592947E-4</c:v>
                </c:pt>
                <c:pt idx="24">
                  <c:v>-3.0825732851572098E-3</c:v>
                </c:pt>
                <c:pt idx="25">
                  <c:v>-5.3655507749364399E-3</c:v>
                </c:pt>
                <c:pt idx="26">
                  <c:v>-1.17646838733226E-3</c:v>
                </c:pt>
                <c:pt idx="27">
                  <c:v>-3.1416829225658799E-4</c:v>
                </c:pt>
                <c:pt idx="28">
                  <c:v>-1.62676605259797E-3</c:v>
                </c:pt>
                <c:pt idx="29">
                  <c:v>-6.5279639039560198E-3</c:v>
                </c:pt>
                <c:pt idx="30">
                  <c:v>-4.05892475658197E-3</c:v>
                </c:pt>
                <c:pt idx="31">
                  <c:v>-4.2758589076835598E-3</c:v>
                </c:pt>
                <c:pt idx="32">
                  <c:v>-4.3762125354173398E-3</c:v>
                </c:pt>
                <c:pt idx="33">
                  <c:v>-2.5158717749173801E-3</c:v>
                </c:pt>
                <c:pt idx="34">
                  <c:v>-6.9035124633555298E-3</c:v>
                </c:pt>
                <c:pt idx="35">
                  <c:v>-7.56089318330758E-3</c:v>
                </c:pt>
                <c:pt idx="36">
                  <c:v>-5.01950830803829E-3</c:v>
                </c:pt>
                <c:pt idx="37">
                  <c:v>-4.8751796198192197E-3</c:v>
                </c:pt>
                <c:pt idx="38">
                  <c:v>-8.9542870006711103E-4</c:v>
                </c:pt>
                <c:pt idx="39">
                  <c:v>-2.85525736338107E-3</c:v>
                </c:pt>
                <c:pt idx="40">
                  <c:v>-5.2253661660631504E-4</c:v>
                </c:pt>
                <c:pt idx="41">
                  <c:v>-8.3938076565437403E-4</c:v>
                </c:pt>
                <c:pt idx="42">
                  <c:v>1.9575097525810199E-4</c:v>
                </c:pt>
                <c:pt idx="43">
                  <c:v>2.42582483347071E-3</c:v>
                </c:pt>
                <c:pt idx="44">
                  <c:v>2.2563684842989802E-3</c:v>
                </c:pt>
                <c:pt idx="45">
                  <c:v>1.9902906495024601E-3</c:v>
                </c:pt>
                <c:pt idx="46">
                  <c:v>1.5801945622883899E-3</c:v>
                </c:pt>
                <c:pt idx="47">
                  <c:v>1.7844871271267299E-3</c:v>
                </c:pt>
                <c:pt idx="48">
                  <c:v>3.1847657720255199E-3</c:v>
                </c:pt>
                <c:pt idx="49">
                  <c:v>3.2143848691282301E-3</c:v>
                </c:pt>
                <c:pt idx="50">
                  <c:v>1.10108045488315E-3</c:v>
                </c:pt>
                <c:pt idx="51">
                  <c:v>-2.3583490882365899E-3</c:v>
                </c:pt>
                <c:pt idx="52">
                  <c:v>-1.7789418731495199E-3</c:v>
                </c:pt>
                <c:pt idx="53">
                  <c:v>7.4108425904547001E-4</c:v>
                </c:pt>
                <c:pt idx="54">
                  <c:v>7.2790584030234002E-4</c:v>
                </c:pt>
                <c:pt idx="55">
                  <c:v>5.0457287341770199E-4</c:v>
                </c:pt>
                <c:pt idx="56">
                  <c:v>9.5452621649384599E-4</c:v>
                </c:pt>
                <c:pt idx="57">
                  <c:v>1.03945834451343E-3</c:v>
                </c:pt>
                <c:pt idx="58">
                  <c:v>-8.9667401143782202E-4</c:v>
                </c:pt>
                <c:pt idx="59">
                  <c:v>1.19770702262066E-3</c:v>
                </c:pt>
                <c:pt idx="60">
                  <c:v>-5.6465940813470096E-4</c:v>
                </c:pt>
                <c:pt idx="61">
                  <c:v>-2.5416589057043401E-3</c:v>
                </c:pt>
                <c:pt idx="62">
                  <c:v>-3.5986780923552798E-3</c:v>
                </c:pt>
                <c:pt idx="63">
                  <c:v>-2.7876536313019801E-3</c:v>
                </c:pt>
                <c:pt idx="64">
                  <c:v>-3.8782120213381802E-3</c:v>
                </c:pt>
                <c:pt idx="65">
                  <c:v>-3.6633402753599299E-3</c:v>
                </c:pt>
                <c:pt idx="66">
                  <c:v>-4.5529945716377002E-3</c:v>
                </c:pt>
                <c:pt idx="67">
                  <c:v>-4.79943720381369E-3</c:v>
                </c:pt>
                <c:pt idx="68">
                  <c:v>-3.8278008513679498E-3</c:v>
                </c:pt>
                <c:pt idx="69">
                  <c:v>-4.0949377606217599E-3</c:v>
                </c:pt>
                <c:pt idx="70">
                  <c:v>-3.03046733073311E-3</c:v>
                </c:pt>
                <c:pt idx="71">
                  <c:v>-2.8251114652308399E-3</c:v>
                </c:pt>
                <c:pt idx="72">
                  <c:v>-3.6596004546843599E-3</c:v>
                </c:pt>
                <c:pt idx="73">
                  <c:v>-4.0718311803222898E-3</c:v>
                </c:pt>
                <c:pt idx="74">
                  <c:v>-5.7431814291805496E-3</c:v>
                </c:pt>
                <c:pt idx="75">
                  <c:v>-4.4279327979532502E-3</c:v>
                </c:pt>
                <c:pt idx="76">
                  <c:v>-6.5310039371001298E-3</c:v>
                </c:pt>
                <c:pt idx="77">
                  <c:v>-6.7828102872919196E-3</c:v>
                </c:pt>
                <c:pt idx="78">
                  <c:v>-5.6935905573291604E-3</c:v>
                </c:pt>
                <c:pt idx="79">
                  <c:v>-6.7733164082514497E-3</c:v>
                </c:pt>
                <c:pt idx="80">
                  <c:v>4.0300551998453801E-3</c:v>
                </c:pt>
                <c:pt idx="81">
                  <c:v>-1.3876523037731701E-3</c:v>
                </c:pt>
                <c:pt idx="82">
                  <c:v>-1.7177849517638301E-3</c:v>
                </c:pt>
                <c:pt idx="83">
                  <c:v>-1.9997525179010599E-5</c:v>
                </c:pt>
                <c:pt idx="84">
                  <c:v>-4.0496707675302902E-3</c:v>
                </c:pt>
                <c:pt idx="85">
                  <c:v>-6.0811364241626503E-3</c:v>
                </c:pt>
                <c:pt idx="86">
                  <c:v>-2.4720869018319E-3</c:v>
                </c:pt>
                <c:pt idx="87">
                  <c:v>-4.6781675486047298E-3</c:v>
                </c:pt>
                <c:pt idx="88">
                  <c:v>-1.92759930594232E-3</c:v>
                </c:pt>
                <c:pt idx="89">
                  <c:v>-1.15885716181514E-3</c:v>
                </c:pt>
                <c:pt idx="90">
                  <c:v>-2.5308612889075499E-3</c:v>
                </c:pt>
                <c:pt idx="91">
                  <c:v>-2.7237308262009299E-3</c:v>
                </c:pt>
                <c:pt idx="92">
                  <c:v>-3.7589914631327298E-4</c:v>
                </c:pt>
                <c:pt idx="93">
                  <c:v>2.0196232609676098E-3</c:v>
                </c:pt>
                <c:pt idx="94">
                  <c:v>1.5971366795451501E-3</c:v>
                </c:pt>
                <c:pt idx="95">
                  <c:v>6.3486224074225201E-4</c:v>
                </c:pt>
                <c:pt idx="96">
                  <c:v>-1.50172969846017E-3</c:v>
                </c:pt>
                <c:pt idx="97">
                  <c:v>-6.0587755171288599E-4</c:v>
                </c:pt>
                <c:pt idx="98">
                  <c:v>-2.5016999996600999E-3</c:v>
                </c:pt>
                <c:pt idx="99">
                  <c:v>-2.73959710932074E-4</c:v>
                </c:pt>
                <c:pt idx="100">
                  <c:v>-4.1623386295556102E-4</c:v>
                </c:pt>
                <c:pt idx="101">
                  <c:v>-1.9997525179010599E-5</c:v>
                </c:pt>
                <c:pt idx="102">
                  <c:v>-4.0595242989307801E-4</c:v>
                </c:pt>
                <c:pt idx="103">
                  <c:v>-3.6506391692204001E-3</c:v>
                </c:pt>
                <c:pt idx="104">
                  <c:v>-3.8187930382676499E-3</c:v>
                </c:pt>
                <c:pt idx="105">
                  <c:v>-4.0101775176368598E-3</c:v>
                </c:pt>
                <c:pt idx="106">
                  <c:v>-3.42586847402024E-3</c:v>
                </c:pt>
                <c:pt idx="107">
                  <c:v>-4.2203190258699704E-3</c:v>
                </c:pt>
                <c:pt idx="108">
                  <c:v>-3.6458976398270199E-3</c:v>
                </c:pt>
                <c:pt idx="109">
                  <c:v>-5.2450819335409299E-3</c:v>
                </c:pt>
                <c:pt idx="110">
                  <c:v>-7.7514294163335499E-3</c:v>
                </c:pt>
                <c:pt idx="111">
                  <c:v>-7.8427961342623104E-3</c:v>
                </c:pt>
                <c:pt idx="112">
                  <c:v>-6.3035806295433502E-3</c:v>
                </c:pt>
                <c:pt idx="113">
                  <c:v>-3.8165970459520999E-3</c:v>
                </c:pt>
                <c:pt idx="114">
                  <c:v>-4.1051612399037396E-3</c:v>
                </c:pt>
                <c:pt idx="115">
                  <c:v>-3.0744206342332801E-3</c:v>
                </c:pt>
                <c:pt idx="116">
                  <c:v>-5.0912221570344404E-3</c:v>
                </c:pt>
                <c:pt idx="117">
                  <c:v>-5.8589862190510204E-3</c:v>
                </c:pt>
                <c:pt idx="118">
                  <c:v>-1.8366689116027801E-3</c:v>
                </c:pt>
                <c:pt idx="119">
                  <c:v>-2.4189632117428599E-3</c:v>
                </c:pt>
                <c:pt idx="120">
                  <c:v>-1.97699408692289E-3</c:v>
                </c:pt>
                <c:pt idx="121">
                  <c:v>1.8365015658591099E-3</c:v>
                </c:pt>
                <c:pt idx="122">
                  <c:v>1.4323227013994301E-3</c:v>
                </c:pt>
                <c:pt idx="123">
                  <c:v>1.9145436127241801E-3</c:v>
                </c:pt>
                <c:pt idx="124">
                  <c:v>4.4661047254291398E-3</c:v>
                </c:pt>
                <c:pt idx="125">
                  <c:v>7.4011819380895999E-4</c:v>
                </c:pt>
                <c:pt idx="126">
                  <c:v>-7.1461382697279396E-4</c:v>
                </c:pt>
                <c:pt idx="127">
                  <c:v>-2.2724292782225299E-3</c:v>
                </c:pt>
                <c:pt idx="128">
                  <c:v>-1.5876657902197599E-3</c:v>
                </c:pt>
                <c:pt idx="129">
                  <c:v>-1.9219558989008599E-3</c:v>
                </c:pt>
                <c:pt idx="130">
                  <c:v>1.89018070832165E-3</c:v>
                </c:pt>
                <c:pt idx="131">
                  <c:v>1.3027019449455199E-3</c:v>
                </c:pt>
                <c:pt idx="132">
                  <c:v>1.62932030382705E-3</c:v>
                </c:pt>
                <c:pt idx="133">
                  <c:v>4.53695789427768E-3</c:v>
                </c:pt>
                <c:pt idx="134">
                  <c:v>2.8005140261449599E-3</c:v>
                </c:pt>
                <c:pt idx="135">
                  <c:v>4.2097757398165897E-3</c:v>
                </c:pt>
                <c:pt idx="136">
                  <c:v>2.97848447433023E-3</c:v>
                </c:pt>
                <c:pt idx="137">
                  <c:v>1.68346885703998E-3</c:v>
                </c:pt>
                <c:pt idx="138">
                  <c:v>1.0574605711268299E-3</c:v>
                </c:pt>
                <c:pt idx="139">
                  <c:v>4.76176094119074E-4</c:v>
                </c:pt>
                <c:pt idx="140">
                  <c:v>2.3020377566528999E-3</c:v>
                </c:pt>
                <c:pt idx="141">
                  <c:v>3.5521715153483901E-3</c:v>
                </c:pt>
                <c:pt idx="142">
                  <c:v>6.1307304451414602E-3</c:v>
                </c:pt>
                <c:pt idx="143">
                  <c:v>7.3731438108858103E-3</c:v>
                </c:pt>
                <c:pt idx="144">
                  <c:v>7.2107603496870797E-3</c:v>
                </c:pt>
                <c:pt idx="145">
                  <c:v>5.5208309469460797E-3</c:v>
                </c:pt>
                <c:pt idx="146">
                  <c:v>5.6987025142786196E-3</c:v>
                </c:pt>
                <c:pt idx="147">
                  <c:v>5.0742936925683496E-3</c:v>
                </c:pt>
                <c:pt idx="148">
                  <c:v>6.5332636633382403E-3</c:v>
                </c:pt>
                <c:pt idx="149">
                  <c:v>2.4555599348975001E-3</c:v>
                </c:pt>
                <c:pt idx="150">
                  <c:v>2.5208563105055901E-3</c:v>
                </c:pt>
                <c:pt idx="151">
                  <c:v>2.20225809862174E-3</c:v>
                </c:pt>
                <c:pt idx="152">
                  <c:v>1.5863957183123601E-3</c:v>
                </c:pt>
                <c:pt idx="153">
                  <c:v>1.8647241016849999E-3</c:v>
                </c:pt>
                <c:pt idx="154">
                  <c:v>1.73640150610061E-3</c:v>
                </c:pt>
                <c:pt idx="155">
                  <c:v>1.01286707641625E-3</c:v>
                </c:pt>
                <c:pt idx="156">
                  <c:v>4.2781435367375796E-3</c:v>
                </c:pt>
                <c:pt idx="157">
                  <c:v>5.2041652528159498E-3</c:v>
                </c:pt>
                <c:pt idx="158">
                  <c:v>6.1246322253020501E-3</c:v>
                </c:pt>
                <c:pt idx="159">
                  <c:v>5.4978941431638303E-3</c:v>
                </c:pt>
                <c:pt idx="160">
                  <c:v>9.51521948566059E-3</c:v>
                </c:pt>
                <c:pt idx="161">
                  <c:v>9.0961780000273201E-3</c:v>
                </c:pt>
                <c:pt idx="162">
                  <c:v>8.8197619181085603E-3</c:v>
                </c:pt>
                <c:pt idx="163">
                  <c:v>7.1587699367487503E-3</c:v>
                </c:pt>
                <c:pt idx="164">
                  <c:v>7.5975584227388699E-3</c:v>
                </c:pt>
                <c:pt idx="165">
                  <c:v>7.2171562302563797E-3</c:v>
                </c:pt>
                <c:pt idx="166">
                  <c:v>6.2120356649811598E-3</c:v>
                </c:pt>
                <c:pt idx="167">
                  <c:v>7.8169782059300998E-3</c:v>
                </c:pt>
                <c:pt idx="168">
                  <c:v>3.9011821457249399E-3</c:v>
                </c:pt>
                <c:pt idx="169">
                  <c:v>2.65855942281346E-3</c:v>
                </c:pt>
                <c:pt idx="170">
                  <c:v>3.02266227533062E-3</c:v>
                </c:pt>
                <c:pt idx="171">
                  <c:v>3.9092044622960802E-3</c:v>
                </c:pt>
                <c:pt idx="172">
                  <c:v>4.0515696253862702E-3</c:v>
                </c:pt>
                <c:pt idx="173">
                  <c:v>5.9047934529020303E-3</c:v>
                </c:pt>
                <c:pt idx="174">
                  <c:v>6.3423236105909801E-3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6-4003-9EC7-76DAE9496BB7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XLF* x 10 dma / IYF*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-7.32302156261639E-3</c:v>
                </c:pt>
                <c:pt idx="11">
                  <c:v>-6.8100378679286401E-3</c:v>
                </c:pt>
                <c:pt idx="12">
                  <c:v>-7.8915055485433896E-3</c:v>
                </c:pt>
                <c:pt idx="13">
                  <c:v>-4.58978410038867E-3</c:v>
                </c:pt>
                <c:pt idx="14">
                  <c:v>-3.85670459887887E-3</c:v>
                </c:pt>
                <c:pt idx="15">
                  <c:v>-2.1734891986548801E-3</c:v>
                </c:pt>
                <c:pt idx="16">
                  <c:v>-3.5051894259603201E-3</c:v>
                </c:pt>
                <c:pt idx="17">
                  <c:v>-2.0517469850807701E-3</c:v>
                </c:pt>
                <c:pt idx="18">
                  <c:v>1.0930059894202801E-3</c:v>
                </c:pt>
                <c:pt idx="19">
                  <c:v>-6.8211239304345501E-4</c:v>
                </c:pt>
                <c:pt idx="20">
                  <c:v>3.6330829595138002E-3</c:v>
                </c:pt>
                <c:pt idx="21">
                  <c:v>1.0558205185382001E-3</c:v>
                </c:pt>
                <c:pt idx="22">
                  <c:v>9.7696360375718007E-4</c:v>
                </c:pt>
                <c:pt idx="23">
                  <c:v>2.01400121165123E-3</c:v>
                </c:pt>
                <c:pt idx="24">
                  <c:v>-1.0877077940201301E-3</c:v>
                </c:pt>
                <c:pt idx="25">
                  <c:v>-3.3179403401186998E-3</c:v>
                </c:pt>
                <c:pt idx="26">
                  <c:v>1.1933519430548699E-3</c:v>
                </c:pt>
                <c:pt idx="27">
                  <c:v>1.7145315725202899E-3</c:v>
                </c:pt>
                <c:pt idx="28">
                  <c:v>2.68074157096326E-5</c:v>
                </c:pt>
                <c:pt idx="29">
                  <c:v>-4.8450266805908897E-3</c:v>
                </c:pt>
                <c:pt idx="30">
                  <c:v>-2.0454639208898999E-3</c:v>
                </c:pt>
                <c:pt idx="31">
                  <c:v>-1.7611185439781101E-3</c:v>
                </c:pt>
                <c:pt idx="32">
                  <c:v>-1.57317467620453E-3</c:v>
                </c:pt>
                <c:pt idx="33">
                  <c:v>5.8204481749301196E-4</c:v>
                </c:pt>
                <c:pt idx="34">
                  <c:v>-3.56976414466622E-3</c:v>
                </c:pt>
                <c:pt idx="35">
                  <c:v>-3.84448940326889E-3</c:v>
                </c:pt>
                <c:pt idx="36">
                  <c:v>-1.0829906201984599E-3</c:v>
                </c:pt>
                <c:pt idx="37">
                  <c:v>-5.5475352098440596E-4</c:v>
                </c:pt>
                <c:pt idx="38">
                  <c:v>3.88020886300908E-3</c:v>
                </c:pt>
                <c:pt idx="39">
                  <c:v>1.84750038745563E-3</c:v>
                </c:pt>
                <c:pt idx="40">
                  <c:v>3.8128869087870601E-3</c:v>
                </c:pt>
                <c:pt idx="41">
                  <c:v>3.14306381611672E-3</c:v>
                </c:pt>
                <c:pt idx="42">
                  <c:v>3.8349779708054402E-3</c:v>
                </c:pt>
                <c:pt idx="43">
                  <c:v>5.6084585047063299E-3</c:v>
                </c:pt>
                <c:pt idx="44">
                  <c:v>4.9462586971848197E-3</c:v>
                </c:pt>
                <c:pt idx="45">
                  <c:v>3.7641055793371202E-3</c:v>
                </c:pt>
                <c:pt idx="46">
                  <c:v>2.3974635525297302E-3</c:v>
                </c:pt>
                <c:pt idx="47">
                  <c:v>1.94097054282806E-3</c:v>
                </c:pt>
                <c:pt idx="48">
                  <c:v>2.6741332292982102E-3</c:v>
                </c:pt>
                <c:pt idx="49">
                  <c:v>2.2959080561931701E-3</c:v>
                </c:pt>
                <c:pt idx="50">
                  <c:v>-4.2499472373502199E-4</c:v>
                </c:pt>
                <c:pt idx="51">
                  <c:v>-4.0470001403212904E-3</c:v>
                </c:pt>
                <c:pt idx="52">
                  <c:v>-3.3152075045771098E-3</c:v>
                </c:pt>
                <c:pt idx="53">
                  <c:v>-5.9727142433365699E-4</c:v>
                </c:pt>
                <c:pt idx="54">
                  <c:v>-4.4203123666427998E-4</c:v>
                </c:pt>
                <c:pt idx="55">
                  <c:v>-5.1257883570102604E-4</c:v>
                </c:pt>
                <c:pt idx="56">
                  <c:v>8.59010588528884E-5</c:v>
                </c:pt>
                <c:pt idx="57">
                  <c:v>2.3337312418102E-4</c:v>
                </c:pt>
                <c:pt idx="58">
                  <c:v>-1.62830425031917E-3</c:v>
                </c:pt>
                <c:pt idx="59">
                  <c:v>8.7396955543368596E-4</c:v>
                </c:pt>
                <c:pt idx="60">
                  <c:v>-6.87128556330109E-4</c:v>
                </c:pt>
                <c:pt idx="61">
                  <c:v>-2.4975921911621702E-3</c:v>
                </c:pt>
                <c:pt idx="62">
                  <c:v>-3.5362364085719201E-3</c:v>
                </c:pt>
                <c:pt idx="63">
                  <c:v>-2.5427763848915202E-3</c:v>
                </c:pt>
                <c:pt idx="64">
                  <c:v>-3.2802483584971E-3</c:v>
                </c:pt>
                <c:pt idx="65">
                  <c:v>-2.6044203504748402E-3</c:v>
                </c:pt>
                <c:pt idx="66">
                  <c:v>-3.0771529727177398E-3</c:v>
                </c:pt>
                <c:pt idx="67">
                  <c:v>-2.7728163985588799E-3</c:v>
                </c:pt>
                <c:pt idx="68">
                  <c:v>-1.2175456199316501E-3</c:v>
                </c:pt>
                <c:pt idx="69">
                  <c:v>-1.1916853563030501E-3</c:v>
                </c:pt>
                <c:pt idx="70">
                  <c:v>4.0114123602127798E-4</c:v>
                </c:pt>
                <c:pt idx="71">
                  <c:v>8.5264506411459695E-4</c:v>
                </c:pt>
                <c:pt idx="72">
                  <c:v>4.6472758086174501E-5</c:v>
                </c:pt>
                <c:pt idx="73">
                  <c:v>-3.5966621855425799E-4</c:v>
                </c:pt>
                <c:pt idx="74">
                  <c:v>-1.9026432068383E-3</c:v>
                </c:pt>
                <c:pt idx="75">
                  <c:v>-4.0073401055301802E-4</c:v>
                </c:pt>
                <c:pt idx="76">
                  <c:v>-2.4273474087962198E-3</c:v>
                </c:pt>
                <c:pt idx="77">
                  <c:v>-2.48108769628261E-3</c:v>
                </c:pt>
                <c:pt idx="78">
                  <c:v>-1.19325472641727E-3</c:v>
                </c:pt>
                <c:pt idx="79">
                  <c:v>-2.0863704084324399E-3</c:v>
                </c:pt>
                <c:pt idx="80">
                  <c:v>8.9850034269088799E-3</c:v>
                </c:pt>
                <c:pt idx="81">
                  <c:v>2.8648363927683798E-3</c:v>
                </c:pt>
                <c:pt idx="82">
                  <c:v>2.3912556913985301E-3</c:v>
                </c:pt>
                <c:pt idx="83">
                  <c:v>3.8951183446212299E-3</c:v>
                </c:pt>
                <c:pt idx="84">
                  <c:v>-5.39063680578259E-4</c:v>
                </c:pt>
                <c:pt idx="85">
                  <c:v>-2.7401296575835302E-3</c:v>
                </c:pt>
                <c:pt idx="86">
                  <c:v>1.0345431779104899E-3</c:v>
                </c:pt>
                <c:pt idx="87">
                  <c:v>-1.57791604071504E-3</c:v>
                </c:pt>
                <c:pt idx="88">
                  <c:v>9.6161132191543498E-4</c:v>
                </c:pt>
                <c:pt idx="89">
                  <c:v>1.3533359035302901E-3</c:v>
                </c:pt>
                <c:pt idx="90">
                  <c:v>-5.8108989250110397E-4</c:v>
                </c:pt>
                <c:pt idx="91">
                  <c:v>-1.19849228922359E-4</c:v>
                </c:pt>
                <c:pt idx="92">
                  <c:v>2.3615081757625399E-3</c:v>
                </c:pt>
                <c:pt idx="93">
                  <c:v>4.6230596816535796E-3</c:v>
                </c:pt>
                <c:pt idx="94">
                  <c:v>3.9973239364196004E-3</c:v>
                </c:pt>
                <c:pt idx="95">
                  <c:v>2.4708713862101701E-3</c:v>
                </c:pt>
                <c:pt idx="96">
                  <c:v>-3.38143767968343E-4</c:v>
                </c:pt>
                <c:pt idx="97">
                  <c:v>4.6058801402510503E-4</c:v>
                </c:pt>
                <c:pt idx="98">
                  <c:v>-1.84318903581521E-3</c:v>
                </c:pt>
                <c:pt idx="99">
                  <c:v>4.42049077619927E-4</c:v>
                </c:pt>
                <c:pt idx="100">
                  <c:v>2.1128122680430801E-4</c:v>
                </c:pt>
                <c:pt idx="101">
                  <c:v>3.9585340322400599E-4</c:v>
                </c:pt>
                <c:pt idx="102">
                  <c:v>-2.6077014555710501E-4</c:v>
                </c:pt>
                <c:pt idx="103">
                  <c:v>-3.50245082241367E-3</c:v>
                </c:pt>
                <c:pt idx="104">
                  <c:v>-3.10336008794541E-3</c:v>
                </c:pt>
                <c:pt idx="105">
                  <c:v>-2.7530834725910101E-3</c:v>
                </c:pt>
                <c:pt idx="106">
                  <c:v>-1.70417793546323E-3</c:v>
                </c:pt>
                <c:pt idx="107">
                  <c:v>-2.3060902717444501E-3</c:v>
                </c:pt>
                <c:pt idx="108">
                  <c:v>-1.3701095534346701E-3</c:v>
                </c:pt>
                <c:pt idx="109">
                  <c:v>-2.8547892881406298E-3</c:v>
                </c:pt>
                <c:pt idx="110">
                  <c:v>-4.86396406572697E-3</c:v>
                </c:pt>
                <c:pt idx="111">
                  <c:v>-4.2212010378647304E-3</c:v>
                </c:pt>
                <c:pt idx="112">
                  <c:v>-1.89976730019364E-3</c:v>
                </c:pt>
                <c:pt idx="113">
                  <c:v>1.1761881148203499E-3</c:v>
                </c:pt>
                <c:pt idx="114">
                  <c:v>9.0419868748015803E-4</c:v>
                </c:pt>
                <c:pt idx="115">
                  <c:v>1.96354572623339E-3</c:v>
                </c:pt>
                <c:pt idx="116">
                  <c:v>-1.46696000234452E-4</c:v>
                </c:pt>
                <c:pt idx="117">
                  <c:v>-7.4805272208549201E-4</c:v>
                </c:pt>
                <c:pt idx="118">
                  <c:v>3.4381062200932E-3</c:v>
                </c:pt>
                <c:pt idx="119">
                  <c:v>2.6753305232107101E-3</c:v>
                </c:pt>
                <c:pt idx="120">
                  <c:v>2.8350043481147002E-3</c:v>
                </c:pt>
                <c:pt idx="121">
                  <c:v>6.0708587120099399E-3</c:v>
                </c:pt>
                <c:pt idx="122">
                  <c:v>4.69946969805346E-3</c:v>
                </c:pt>
                <c:pt idx="123">
                  <c:v>4.4084424565668896E-3</c:v>
                </c:pt>
                <c:pt idx="124">
                  <c:v>6.3876084933826198E-3</c:v>
                </c:pt>
                <c:pt idx="125">
                  <c:v>1.8059265109489301E-3</c:v>
                </c:pt>
                <c:pt idx="126">
                  <c:v>-3.03710704111369E-5</c:v>
                </c:pt>
                <c:pt idx="127">
                  <c:v>-2.0269160377124201E-3</c:v>
                </c:pt>
                <c:pt idx="128">
                  <c:v>-1.7022460175687101E-3</c:v>
                </c:pt>
                <c:pt idx="129">
                  <c:v>-2.0614822777618698E-3</c:v>
                </c:pt>
                <c:pt idx="130">
                  <c:v>1.7008374161273101E-3</c:v>
                </c:pt>
                <c:pt idx="131">
                  <c:v>7.2647608382389096E-4</c:v>
                </c:pt>
                <c:pt idx="132">
                  <c:v>1.10641998355936E-3</c:v>
                </c:pt>
                <c:pt idx="133">
                  <c:v>3.9943774658858797E-3</c:v>
                </c:pt>
                <c:pt idx="134">
                  <c:v>1.9963605826874399E-3</c:v>
                </c:pt>
                <c:pt idx="135">
                  <c:v>3.5716970386833798E-3</c:v>
                </c:pt>
                <c:pt idx="136">
                  <c:v>1.9940166044704099E-3</c:v>
                </c:pt>
                <c:pt idx="137">
                  <c:v>3.2967721274029398E-4</c:v>
                </c:pt>
                <c:pt idx="138">
                  <c:v>-6.9265224715071004E-4</c:v>
                </c:pt>
                <c:pt idx="139">
                  <c:v>-1.53901815595152E-3</c:v>
                </c:pt>
                <c:pt idx="140">
                  <c:v>4.63438034278241E-5</c:v>
                </c:pt>
                <c:pt idx="141">
                  <c:v>1.25528443544008E-3</c:v>
                </c:pt>
                <c:pt idx="142">
                  <c:v>3.6089004278355799E-3</c:v>
                </c:pt>
                <c:pt idx="143">
                  <c:v>4.40168229526348E-3</c:v>
                </c:pt>
                <c:pt idx="144">
                  <c:v>3.9564850998955198E-3</c:v>
                </c:pt>
                <c:pt idx="145">
                  <c:v>1.8262054858608401E-3</c:v>
                </c:pt>
                <c:pt idx="146">
                  <c:v>1.87311634065161E-3</c:v>
                </c:pt>
                <c:pt idx="147">
                  <c:v>9.7678817779547292E-4</c:v>
                </c:pt>
                <c:pt idx="148">
                  <c:v>2.09637415775151E-3</c:v>
                </c:pt>
                <c:pt idx="149">
                  <c:v>-2.5294121347514899E-3</c:v>
                </c:pt>
                <c:pt idx="150">
                  <c:v>-2.6627716992859499E-3</c:v>
                </c:pt>
                <c:pt idx="151">
                  <c:v>-3.0033127519632002E-3</c:v>
                </c:pt>
                <c:pt idx="152">
                  <c:v>-3.48387825926012E-3</c:v>
                </c:pt>
                <c:pt idx="153">
                  <c:v>-2.75066851019255E-3</c:v>
                </c:pt>
                <c:pt idx="154">
                  <c:v>-2.3283020462167101E-3</c:v>
                </c:pt>
                <c:pt idx="155">
                  <c:v>-2.5047733629521402E-3</c:v>
                </c:pt>
                <c:pt idx="156">
                  <c:v>1.2113113069803199E-3</c:v>
                </c:pt>
                <c:pt idx="157">
                  <c:v>2.27910617124442E-3</c:v>
                </c:pt>
                <c:pt idx="158">
                  <c:v>3.1866146277001002E-3</c:v>
                </c:pt>
                <c:pt idx="159">
                  <c:v>2.60060053100678E-3</c:v>
                </c:pt>
                <c:pt idx="160">
                  <c:v>6.3139743694399899E-3</c:v>
                </c:pt>
                <c:pt idx="161">
                  <c:v>5.1972191939831797E-3</c:v>
                </c:pt>
                <c:pt idx="162">
                  <c:v>4.2323784085945403E-3</c:v>
                </c:pt>
                <c:pt idx="163">
                  <c:v>1.84823203607438E-3</c:v>
                </c:pt>
                <c:pt idx="164">
                  <c:v>1.7570518587478E-3</c:v>
                </c:pt>
                <c:pt idx="165">
                  <c:v>7.8967267126446095E-4</c:v>
                </c:pt>
                <c:pt idx="166">
                  <c:v>-8.3750763043620501E-4</c:v>
                </c:pt>
                <c:pt idx="167">
                  <c:v>5.7367762085487899E-4</c:v>
                </c:pt>
                <c:pt idx="168">
                  <c:v>-3.6036255175344901E-3</c:v>
                </c:pt>
                <c:pt idx="169">
                  <c:v>-4.6233732725060699E-3</c:v>
                </c:pt>
                <c:pt idx="170">
                  <c:v>-3.9744663148028204E-3</c:v>
                </c:pt>
                <c:pt idx="171">
                  <c:v>-2.4384052964465598E-3</c:v>
                </c:pt>
                <c:pt idx="172">
                  <c:v>-1.77755706788852E-3</c:v>
                </c:pt>
                <c:pt idx="173">
                  <c:v>5.5208381389131099E-4</c:v>
                </c:pt>
                <c:pt idx="174">
                  <c:v>1.1148560193253399E-3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6-4003-9EC7-76DAE9496BB7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XLF* x 20 dma / IYF*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-7.00692515500642E-4</c:v>
                </c:pt>
                <c:pt idx="21">
                  <c:v>-2.6452231092832798E-3</c:v>
                </c:pt>
                <c:pt idx="22">
                  <c:v>-2.2667264903907299E-3</c:v>
                </c:pt>
                <c:pt idx="23">
                  <c:v>-4.2274806736380098E-4</c:v>
                </c:pt>
                <c:pt idx="24">
                  <c:v>-2.7343626181712101E-3</c:v>
                </c:pt>
                <c:pt idx="25">
                  <c:v>-4.3537341457173797E-3</c:v>
                </c:pt>
                <c:pt idx="26">
                  <c:v>5.4872844981196205E-4</c:v>
                </c:pt>
                <c:pt idx="27">
                  <c:v>1.7063705968416399E-3</c:v>
                </c:pt>
                <c:pt idx="28">
                  <c:v>4.1313486960939898E-4</c:v>
                </c:pt>
                <c:pt idx="29">
                  <c:v>-4.4110893524793304E-3</c:v>
                </c:pt>
                <c:pt idx="30">
                  <c:v>-1.71431930736155E-3</c:v>
                </c:pt>
                <c:pt idx="31">
                  <c:v>-1.7938821604146201E-3</c:v>
                </c:pt>
                <c:pt idx="32">
                  <c:v>-1.7725506424169301E-3</c:v>
                </c:pt>
                <c:pt idx="33">
                  <c:v>1.16752468287791E-4</c:v>
                </c:pt>
                <c:pt idx="34">
                  <c:v>-4.2389814825558097E-3</c:v>
                </c:pt>
                <c:pt idx="35">
                  <c:v>-4.6785379670161798E-3</c:v>
                </c:pt>
                <c:pt idx="36">
                  <c:v>-1.86603248138018E-3</c:v>
                </c:pt>
                <c:pt idx="37">
                  <c:v>-1.6999601370155299E-3</c:v>
                </c:pt>
                <c:pt idx="38">
                  <c:v>2.32039522565644E-3</c:v>
                </c:pt>
                <c:pt idx="39">
                  <c:v>3.3873003778874298E-4</c:v>
                </c:pt>
                <c:pt idx="40">
                  <c:v>2.6525795026262101E-3</c:v>
                </c:pt>
                <c:pt idx="41">
                  <c:v>2.4094809765185499E-3</c:v>
                </c:pt>
                <c:pt idx="42">
                  <c:v>3.4169708041694598E-3</c:v>
                </c:pt>
                <c:pt idx="43">
                  <c:v>5.5661008624167804E-3</c:v>
                </c:pt>
                <c:pt idx="44">
                  <c:v>5.2682395692430599E-3</c:v>
                </c:pt>
                <c:pt idx="45">
                  <c:v>4.7358717107952404E-3</c:v>
                </c:pt>
                <c:pt idx="46">
                  <c:v>3.9583041148906596E-3</c:v>
                </c:pt>
                <c:pt idx="47">
                  <c:v>4.0251091851626897E-3</c:v>
                </c:pt>
                <c:pt idx="48">
                  <c:v>5.3207613595865301E-3</c:v>
                </c:pt>
                <c:pt idx="49">
                  <c:v>5.1104751176315197E-3</c:v>
                </c:pt>
                <c:pt idx="50">
                  <c:v>2.5100492680049098E-3</c:v>
                </c:pt>
                <c:pt idx="51">
                  <c:v>-1.2074321630695501E-3</c:v>
                </c:pt>
                <c:pt idx="52">
                  <c:v>-7.2411297933504596E-4</c:v>
                </c:pt>
                <c:pt idx="53">
                  <c:v>1.6657781688907301E-3</c:v>
                </c:pt>
                <c:pt idx="54">
                  <c:v>1.48974469044428E-3</c:v>
                </c:pt>
                <c:pt idx="55">
                  <c:v>8.8387817030723798E-4</c:v>
                </c:pt>
                <c:pt idx="56">
                  <c:v>9.2920341263712095E-4</c:v>
                </c:pt>
                <c:pt idx="57">
                  <c:v>7.1477325949096098E-4</c:v>
                </c:pt>
                <c:pt idx="58">
                  <c:v>-1.5177992972446601E-3</c:v>
                </c:pt>
                <c:pt idx="59">
                  <c:v>5.7664409692010504E-4</c:v>
                </c:pt>
                <c:pt idx="60">
                  <c:v>-1.3886853078255599E-3</c:v>
                </c:pt>
                <c:pt idx="61">
                  <c:v>-3.3635757856651E-3</c:v>
                </c:pt>
                <c:pt idx="62">
                  <c:v>-4.3352705830764001E-3</c:v>
                </c:pt>
                <c:pt idx="63">
                  <c:v>-3.3340795215052099E-3</c:v>
                </c:pt>
                <c:pt idx="64">
                  <c:v>-4.16380804432347E-3</c:v>
                </c:pt>
                <c:pt idx="65">
                  <c:v>-3.6419174083950098E-3</c:v>
                </c:pt>
                <c:pt idx="66">
                  <c:v>-4.2486992856089097E-3</c:v>
                </c:pt>
                <c:pt idx="67">
                  <c:v>-4.1881663837594601E-3</c:v>
                </c:pt>
                <c:pt idx="68">
                  <c:v>-2.8870923309282401E-3</c:v>
                </c:pt>
                <c:pt idx="69">
                  <c:v>-2.8038786096668102E-3</c:v>
                </c:pt>
                <c:pt idx="70">
                  <c:v>-1.3743186887339701E-3</c:v>
                </c:pt>
                <c:pt idx="71">
                  <c:v>-9.6254938148640197E-4</c:v>
                </c:pt>
                <c:pt idx="72">
                  <c:v>-1.7736835009853401E-3</c:v>
                </c:pt>
                <c:pt idx="73">
                  <c:v>-2.0918073164732701E-3</c:v>
                </c:pt>
                <c:pt idx="74">
                  <c:v>-3.52261620094292E-3</c:v>
                </c:pt>
                <c:pt idx="75">
                  <c:v>-1.88377210728921E-3</c:v>
                </c:pt>
                <c:pt idx="76">
                  <c:v>-3.74039169732358E-3</c:v>
                </c:pt>
                <c:pt idx="77">
                  <c:v>-3.6179915782821701E-3</c:v>
                </c:pt>
                <c:pt idx="78">
                  <c:v>-2.1378484756373901E-3</c:v>
                </c:pt>
                <c:pt idx="79">
                  <c:v>-2.97781951088008E-3</c:v>
                </c:pt>
                <c:pt idx="80">
                  <c:v>8.2236236671913206E-3</c:v>
                </c:pt>
                <c:pt idx="81">
                  <c:v>2.5775115988027602E-3</c:v>
                </c:pt>
                <c:pt idx="82">
                  <c:v>2.1897922740461498E-3</c:v>
                </c:pt>
                <c:pt idx="83">
                  <c:v>3.79364803923893E-3</c:v>
                </c:pt>
                <c:pt idx="84">
                  <c:v>-3.7408450606385202E-4</c:v>
                </c:pt>
                <c:pt idx="85">
                  <c:v>-2.3969747897377002E-3</c:v>
                </c:pt>
                <c:pt idx="86">
                  <c:v>1.33310095726319E-3</c:v>
                </c:pt>
                <c:pt idx="87">
                  <c:v>-9.7700005757048094E-4</c:v>
                </c:pt>
                <c:pt idx="88">
                  <c:v>1.76749838895992E-3</c:v>
                </c:pt>
                <c:pt idx="89">
                  <c:v>2.44130356444141E-3</c:v>
                </c:pt>
                <c:pt idx="90">
                  <c:v>9.2262740837535098E-4</c:v>
                </c:pt>
                <c:pt idx="91">
                  <c:v>7.0479405884182303E-4</c:v>
                </c:pt>
                <c:pt idx="92">
                  <c:v>3.04756000853325E-3</c:v>
                </c:pt>
                <c:pt idx="93">
                  <c:v>5.2791144690675102E-3</c:v>
                </c:pt>
                <c:pt idx="94">
                  <c:v>4.5526879804753898E-3</c:v>
                </c:pt>
                <c:pt idx="95">
                  <c:v>3.22365332396883E-3</c:v>
                </c:pt>
                <c:pt idx="96">
                  <c:v>8.3406453848533697E-4</c:v>
                </c:pt>
                <c:pt idx="97">
                  <c:v>1.47799802066902E-3</c:v>
                </c:pt>
                <c:pt idx="98">
                  <c:v>-7.27217201314055E-4</c:v>
                </c:pt>
                <c:pt idx="99">
                  <c:v>1.3405445007066601E-3</c:v>
                </c:pt>
                <c:pt idx="100">
                  <c:v>8.7262792532948302E-4</c:v>
                </c:pt>
                <c:pt idx="101">
                  <c:v>1.4904671723182099E-3</c:v>
                </c:pt>
                <c:pt idx="102">
                  <c:v>1.0361823269085301E-3</c:v>
                </c:pt>
                <c:pt idx="103">
                  <c:v>-2.2740732552756402E-3</c:v>
                </c:pt>
                <c:pt idx="104">
                  <c:v>-2.26062813507689E-3</c:v>
                </c:pt>
                <c:pt idx="105">
                  <c:v>-2.4635840295436601E-3</c:v>
                </c:pt>
                <c:pt idx="106">
                  <c:v>-1.9831913044023501E-3</c:v>
                </c:pt>
                <c:pt idx="107">
                  <c:v>-2.7298820281378899E-3</c:v>
                </c:pt>
                <c:pt idx="108">
                  <c:v>-2.1784211665827401E-3</c:v>
                </c:pt>
                <c:pt idx="109">
                  <c:v>-3.69158081330158E-3</c:v>
                </c:pt>
                <c:pt idx="110">
                  <c:v>-5.9933007743885403E-3</c:v>
                </c:pt>
                <c:pt idx="111">
                  <c:v>-5.8227885229532898E-3</c:v>
                </c:pt>
                <c:pt idx="112">
                  <c:v>-4.0268158321164899E-3</c:v>
                </c:pt>
                <c:pt idx="113">
                  <c:v>-1.2431765302455299E-3</c:v>
                </c:pt>
                <c:pt idx="114">
                  <c:v>-1.24046007671076E-3</c:v>
                </c:pt>
                <c:pt idx="115">
                  <c:v>7.4896441891816998E-5</c:v>
                </c:pt>
                <c:pt idx="116">
                  <c:v>-1.7568154762398799E-3</c:v>
                </c:pt>
                <c:pt idx="117">
                  <c:v>-2.34512772889778E-3</c:v>
                </c:pt>
                <c:pt idx="118">
                  <c:v>1.93973693743249E-3</c:v>
                </c:pt>
                <c:pt idx="119">
                  <c:v>1.32424393089228E-3</c:v>
                </c:pt>
                <c:pt idx="120">
                  <c:v>1.8732007842767399E-3</c:v>
                </c:pt>
                <c:pt idx="121">
                  <c:v>5.7645246217988104E-3</c:v>
                </c:pt>
                <c:pt idx="122">
                  <c:v>5.2679643656865201E-3</c:v>
                </c:pt>
                <c:pt idx="123">
                  <c:v>5.6586661689316401E-3</c:v>
                </c:pt>
                <c:pt idx="124">
                  <c:v>7.9327284295820592E-3</c:v>
                </c:pt>
                <c:pt idx="125">
                  <c:v>3.79397778625617E-3</c:v>
                </c:pt>
                <c:pt idx="126">
                  <c:v>2.1020393798236699E-3</c:v>
                </c:pt>
                <c:pt idx="127">
                  <c:v>4.0875312688077101E-4</c:v>
                </c:pt>
                <c:pt idx="128">
                  <c:v>9.9606230145824208E-4</c:v>
                </c:pt>
                <c:pt idx="129">
                  <c:v>5.5885188436030696E-4</c:v>
                </c:pt>
                <c:pt idx="130">
                  <c:v>4.2046349538688698E-3</c:v>
                </c:pt>
                <c:pt idx="131">
                  <c:v>3.13466029827971E-3</c:v>
                </c:pt>
                <c:pt idx="132">
                  <c:v>3.0032391982787198E-3</c:v>
                </c:pt>
                <c:pt idx="133">
                  <c:v>5.5137696273567498E-3</c:v>
                </c:pt>
                <c:pt idx="134">
                  <c:v>3.3601178390097802E-3</c:v>
                </c:pt>
                <c:pt idx="135">
                  <c:v>4.4240034516474904E-3</c:v>
                </c:pt>
                <c:pt idx="136">
                  <c:v>2.8287199920351601E-3</c:v>
                </c:pt>
                <c:pt idx="137">
                  <c:v>1.12964937712542E-3</c:v>
                </c:pt>
                <c:pt idx="138">
                  <c:v>1.2544841913324299E-4</c:v>
                </c:pt>
                <c:pt idx="139">
                  <c:v>-6.0074445416571595E-4</c:v>
                </c:pt>
                <c:pt idx="140">
                  <c:v>1.0800528594797499E-3</c:v>
                </c:pt>
                <c:pt idx="141">
                  <c:v>2.1159851291665701E-3</c:v>
                </c:pt>
                <c:pt idx="142">
                  <c:v>4.6088647412631202E-3</c:v>
                </c:pt>
                <c:pt idx="143">
                  <c:v>5.6168602716143903E-3</c:v>
                </c:pt>
                <c:pt idx="144">
                  <c:v>5.1822963899832196E-3</c:v>
                </c:pt>
                <c:pt idx="145">
                  <c:v>3.3556466751442299E-3</c:v>
                </c:pt>
                <c:pt idx="146">
                  <c:v>3.2946844863475E-3</c:v>
                </c:pt>
                <c:pt idx="147">
                  <c:v>2.3495861084622798E-3</c:v>
                </c:pt>
                <c:pt idx="148">
                  <c:v>3.4406648472557798E-3</c:v>
                </c:pt>
                <c:pt idx="149">
                  <c:v>-1.0434207778302299E-3</c:v>
                </c:pt>
                <c:pt idx="150">
                  <c:v>-1.1977330716556401E-3</c:v>
                </c:pt>
                <c:pt idx="151">
                  <c:v>-1.5479133118380499E-3</c:v>
                </c:pt>
                <c:pt idx="152">
                  <c:v>-2.2088444585190502E-3</c:v>
                </c:pt>
                <c:pt idx="153">
                  <c:v>-1.9283651484218399E-3</c:v>
                </c:pt>
                <c:pt idx="154">
                  <c:v>-1.92300579570182E-3</c:v>
                </c:pt>
                <c:pt idx="155">
                  <c:v>-2.5932619583481399E-3</c:v>
                </c:pt>
                <c:pt idx="156">
                  <c:v>8.3200629848705998E-4</c:v>
                </c:pt>
                <c:pt idx="157">
                  <c:v>1.69305478346361E-3</c:v>
                </c:pt>
                <c:pt idx="158">
                  <c:v>2.4374595008062301E-3</c:v>
                </c:pt>
                <c:pt idx="159">
                  <c:v>1.55730610232958E-3</c:v>
                </c:pt>
                <c:pt idx="160">
                  <c:v>5.3232741528160196E-3</c:v>
                </c:pt>
                <c:pt idx="161">
                  <c:v>4.5441265760771303E-3</c:v>
                </c:pt>
                <c:pt idx="162">
                  <c:v>3.9909623224655003E-3</c:v>
                </c:pt>
                <c:pt idx="163">
                  <c:v>2.19586508384324E-3</c:v>
                </c:pt>
                <c:pt idx="164">
                  <c:v>2.6453475490749601E-3</c:v>
                </c:pt>
                <c:pt idx="165">
                  <c:v>2.2456526290753E-3</c:v>
                </c:pt>
                <c:pt idx="166">
                  <c:v>1.15583064951251E-3</c:v>
                </c:pt>
                <c:pt idx="167">
                  <c:v>2.7351292720061001E-3</c:v>
                </c:pt>
                <c:pt idx="168">
                  <c:v>-1.3176235405331E-3</c:v>
                </c:pt>
                <c:pt idx="169">
                  <c:v>-2.4286506003635298E-3</c:v>
                </c:pt>
                <c:pt idx="170">
                  <c:v>-2.0747234875092202E-3</c:v>
                </c:pt>
                <c:pt idx="171">
                  <c:v>-1.2133303338484199E-3</c:v>
                </c:pt>
                <c:pt idx="172">
                  <c:v>-1.1564927352536E-3</c:v>
                </c:pt>
                <c:pt idx="173">
                  <c:v>5.7316990536645997E-4</c:v>
                </c:pt>
                <c:pt idx="174">
                  <c:v>8.0838351005939595E-4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6-4003-9EC7-76DAE9496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IYF*/XLF*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2.38188334875188</c:v>
                </c:pt>
                <c:pt idx="1">
                  <c:v>2.38188334875188</c:v>
                </c:pt>
                <c:pt idx="2">
                  <c:v>2.38188334875188</c:v>
                </c:pt>
                <c:pt idx="3">
                  <c:v>2.38188334875188</c:v>
                </c:pt>
                <c:pt idx="4">
                  <c:v>2.38188334875188</c:v>
                </c:pt>
                <c:pt idx="5">
                  <c:v>2.38188334875188</c:v>
                </c:pt>
                <c:pt idx="6">
                  <c:v>2.38188334875188</c:v>
                </c:pt>
                <c:pt idx="7">
                  <c:v>2.38188334875188</c:v>
                </c:pt>
                <c:pt idx="8">
                  <c:v>2.38188334875188</c:v>
                </c:pt>
                <c:pt idx="9">
                  <c:v>2.38188334875188</c:v>
                </c:pt>
                <c:pt idx="10">
                  <c:v>2.38188334875188</c:v>
                </c:pt>
                <c:pt idx="11">
                  <c:v>2.38188334875188</c:v>
                </c:pt>
                <c:pt idx="12">
                  <c:v>2.38188334875188</c:v>
                </c:pt>
                <c:pt idx="13">
                  <c:v>2.38188334875188</c:v>
                </c:pt>
                <c:pt idx="14">
                  <c:v>2.38188334875188</c:v>
                </c:pt>
                <c:pt idx="15">
                  <c:v>2.38188334875188</c:v>
                </c:pt>
                <c:pt idx="16">
                  <c:v>2.38188334875188</c:v>
                </c:pt>
                <c:pt idx="17">
                  <c:v>2.38188334875188</c:v>
                </c:pt>
                <c:pt idx="18">
                  <c:v>2.38188334875188</c:v>
                </c:pt>
                <c:pt idx="19">
                  <c:v>2.38188334875188</c:v>
                </c:pt>
                <c:pt idx="20">
                  <c:v>2.38188334875188</c:v>
                </c:pt>
                <c:pt idx="21">
                  <c:v>2.38188334875188</c:v>
                </c:pt>
                <c:pt idx="22">
                  <c:v>2.38188334875188</c:v>
                </c:pt>
                <c:pt idx="23">
                  <c:v>2.38188334875188</c:v>
                </c:pt>
                <c:pt idx="24">
                  <c:v>2.38188334875188</c:v>
                </c:pt>
                <c:pt idx="25">
                  <c:v>2.38188334875188</c:v>
                </c:pt>
                <c:pt idx="26">
                  <c:v>2.38188334875188</c:v>
                </c:pt>
                <c:pt idx="27">
                  <c:v>2.38188334875188</c:v>
                </c:pt>
                <c:pt idx="28">
                  <c:v>2.38188334875188</c:v>
                </c:pt>
                <c:pt idx="29">
                  <c:v>2.38188334875188</c:v>
                </c:pt>
                <c:pt idx="30">
                  <c:v>2.38188334875188</c:v>
                </c:pt>
                <c:pt idx="31">
                  <c:v>2.38188334875188</c:v>
                </c:pt>
                <c:pt idx="32">
                  <c:v>2.38188334875188</c:v>
                </c:pt>
                <c:pt idx="33">
                  <c:v>2.38188334875188</c:v>
                </c:pt>
                <c:pt idx="34">
                  <c:v>2.38188334875188</c:v>
                </c:pt>
                <c:pt idx="35">
                  <c:v>2.38188334875188</c:v>
                </c:pt>
                <c:pt idx="36">
                  <c:v>2.38188334875188</c:v>
                </c:pt>
                <c:pt idx="37">
                  <c:v>2.38188334875188</c:v>
                </c:pt>
                <c:pt idx="38">
                  <c:v>2.38188334875188</c:v>
                </c:pt>
                <c:pt idx="39">
                  <c:v>2.38188334875188</c:v>
                </c:pt>
                <c:pt idx="40">
                  <c:v>2.38188334875188</c:v>
                </c:pt>
                <c:pt idx="41">
                  <c:v>2.38188334875188</c:v>
                </c:pt>
                <c:pt idx="42">
                  <c:v>2.38188334875188</c:v>
                </c:pt>
                <c:pt idx="43">
                  <c:v>2.38188334875188</c:v>
                </c:pt>
                <c:pt idx="44">
                  <c:v>2.38188334875188</c:v>
                </c:pt>
                <c:pt idx="45">
                  <c:v>2.38188334875188</c:v>
                </c:pt>
                <c:pt idx="46">
                  <c:v>2.38188334875188</c:v>
                </c:pt>
                <c:pt idx="47">
                  <c:v>2.38188334875188</c:v>
                </c:pt>
                <c:pt idx="48">
                  <c:v>2.38188334875188</c:v>
                </c:pt>
                <c:pt idx="49">
                  <c:v>2.38188334875188</c:v>
                </c:pt>
                <c:pt idx="50">
                  <c:v>2.38188334875188</c:v>
                </c:pt>
                <c:pt idx="51">
                  <c:v>2.38188334875188</c:v>
                </c:pt>
                <c:pt idx="52">
                  <c:v>2.38188334875188</c:v>
                </c:pt>
                <c:pt idx="53">
                  <c:v>2.38188334875188</c:v>
                </c:pt>
                <c:pt idx="54">
                  <c:v>2.38188334875188</c:v>
                </c:pt>
                <c:pt idx="55">
                  <c:v>2.38188334875188</c:v>
                </c:pt>
                <c:pt idx="56">
                  <c:v>2.38188334875188</c:v>
                </c:pt>
                <c:pt idx="57">
                  <c:v>2.38188334875188</c:v>
                </c:pt>
                <c:pt idx="58">
                  <c:v>2.38188334875188</c:v>
                </c:pt>
                <c:pt idx="59">
                  <c:v>2.38188334875188</c:v>
                </c:pt>
                <c:pt idx="60">
                  <c:v>2.38188334875188</c:v>
                </c:pt>
                <c:pt idx="61">
                  <c:v>2.38188334875188</c:v>
                </c:pt>
                <c:pt idx="62">
                  <c:v>2.38188334875188</c:v>
                </c:pt>
                <c:pt idx="63">
                  <c:v>2.38188334875188</c:v>
                </c:pt>
                <c:pt idx="64">
                  <c:v>2.38188334875188</c:v>
                </c:pt>
                <c:pt idx="65">
                  <c:v>2.38188334875188</c:v>
                </c:pt>
                <c:pt idx="66">
                  <c:v>2.38188334875188</c:v>
                </c:pt>
                <c:pt idx="67">
                  <c:v>2.38188334875188</c:v>
                </c:pt>
                <c:pt idx="68">
                  <c:v>2.38188334875188</c:v>
                </c:pt>
                <c:pt idx="69">
                  <c:v>2.38188334875188</c:v>
                </c:pt>
                <c:pt idx="70">
                  <c:v>2.38188334875188</c:v>
                </c:pt>
                <c:pt idx="71">
                  <c:v>2.38188334875188</c:v>
                </c:pt>
                <c:pt idx="72">
                  <c:v>2.38188334875188</c:v>
                </c:pt>
                <c:pt idx="73">
                  <c:v>2.38188334875188</c:v>
                </c:pt>
                <c:pt idx="74">
                  <c:v>2.38188334875188</c:v>
                </c:pt>
                <c:pt idx="75">
                  <c:v>2.38188334875188</c:v>
                </c:pt>
                <c:pt idx="76">
                  <c:v>2.38188334875188</c:v>
                </c:pt>
                <c:pt idx="77">
                  <c:v>2.38188334875188</c:v>
                </c:pt>
                <c:pt idx="78">
                  <c:v>2.38188334875188</c:v>
                </c:pt>
                <c:pt idx="79">
                  <c:v>2.38188334875188</c:v>
                </c:pt>
                <c:pt idx="80">
                  <c:v>2.38188334875188</c:v>
                </c:pt>
                <c:pt idx="81">
                  <c:v>2.38188334875188</c:v>
                </c:pt>
                <c:pt idx="82">
                  <c:v>2.38188334875188</c:v>
                </c:pt>
                <c:pt idx="83">
                  <c:v>2.38188334875188</c:v>
                </c:pt>
                <c:pt idx="84">
                  <c:v>2.38188334875188</c:v>
                </c:pt>
                <c:pt idx="85">
                  <c:v>2.38188334875188</c:v>
                </c:pt>
                <c:pt idx="86">
                  <c:v>2.38188334875188</c:v>
                </c:pt>
                <c:pt idx="87">
                  <c:v>2.38188334875188</c:v>
                </c:pt>
                <c:pt idx="88">
                  <c:v>2.38188334875188</c:v>
                </c:pt>
                <c:pt idx="89">
                  <c:v>2.38188334875188</c:v>
                </c:pt>
                <c:pt idx="90">
                  <c:v>2.38188334875188</c:v>
                </c:pt>
                <c:pt idx="91">
                  <c:v>2.38188334875188</c:v>
                </c:pt>
                <c:pt idx="92">
                  <c:v>2.38188334875188</c:v>
                </c:pt>
                <c:pt idx="93">
                  <c:v>2.38188334875188</c:v>
                </c:pt>
                <c:pt idx="94">
                  <c:v>2.38188334875188</c:v>
                </c:pt>
                <c:pt idx="95">
                  <c:v>2.38188334875188</c:v>
                </c:pt>
                <c:pt idx="96">
                  <c:v>2.38188334875188</c:v>
                </c:pt>
                <c:pt idx="97">
                  <c:v>2.38188334875188</c:v>
                </c:pt>
                <c:pt idx="98">
                  <c:v>2.38188334875188</c:v>
                </c:pt>
                <c:pt idx="99">
                  <c:v>2.38188334875188</c:v>
                </c:pt>
                <c:pt idx="100">
                  <c:v>2.38188334875188</c:v>
                </c:pt>
                <c:pt idx="101">
                  <c:v>2.38188334875188</c:v>
                </c:pt>
                <c:pt idx="102">
                  <c:v>2.38188334875188</c:v>
                </c:pt>
                <c:pt idx="103">
                  <c:v>2.38188334875188</c:v>
                </c:pt>
                <c:pt idx="104">
                  <c:v>2.38188334875188</c:v>
                </c:pt>
                <c:pt idx="105">
                  <c:v>2.38188334875188</c:v>
                </c:pt>
                <c:pt idx="106">
                  <c:v>2.38188334875188</c:v>
                </c:pt>
                <c:pt idx="107">
                  <c:v>2.38188334875188</c:v>
                </c:pt>
                <c:pt idx="108">
                  <c:v>2.38188334875188</c:v>
                </c:pt>
                <c:pt idx="109">
                  <c:v>2.38188334875188</c:v>
                </c:pt>
                <c:pt idx="110">
                  <c:v>2.38188334875188</c:v>
                </c:pt>
                <c:pt idx="111">
                  <c:v>2.38188334875188</c:v>
                </c:pt>
                <c:pt idx="112">
                  <c:v>2.38188334875188</c:v>
                </c:pt>
                <c:pt idx="113">
                  <c:v>2.38188334875188</c:v>
                </c:pt>
                <c:pt idx="114">
                  <c:v>2.38188334875188</c:v>
                </c:pt>
                <c:pt idx="115">
                  <c:v>2.38188334875188</c:v>
                </c:pt>
                <c:pt idx="116">
                  <c:v>2.38188334875188</c:v>
                </c:pt>
                <c:pt idx="117">
                  <c:v>2.38188334875188</c:v>
                </c:pt>
                <c:pt idx="118">
                  <c:v>2.38188334875188</c:v>
                </c:pt>
                <c:pt idx="119">
                  <c:v>2.38188334875188</c:v>
                </c:pt>
                <c:pt idx="120">
                  <c:v>2.38188334875188</c:v>
                </c:pt>
                <c:pt idx="121">
                  <c:v>2.38188334875188</c:v>
                </c:pt>
                <c:pt idx="122">
                  <c:v>2.38188334875188</c:v>
                </c:pt>
                <c:pt idx="123">
                  <c:v>2.38188334875188</c:v>
                </c:pt>
                <c:pt idx="124">
                  <c:v>2.38188334875188</c:v>
                </c:pt>
                <c:pt idx="125">
                  <c:v>2.38188334875188</c:v>
                </c:pt>
                <c:pt idx="126">
                  <c:v>2.38188334875188</c:v>
                </c:pt>
                <c:pt idx="127">
                  <c:v>2.38188334875188</c:v>
                </c:pt>
                <c:pt idx="128">
                  <c:v>2.38188334875188</c:v>
                </c:pt>
                <c:pt idx="129">
                  <c:v>2.38188334875188</c:v>
                </c:pt>
                <c:pt idx="130">
                  <c:v>2.38188334875188</c:v>
                </c:pt>
                <c:pt idx="131">
                  <c:v>2.38188334875188</c:v>
                </c:pt>
                <c:pt idx="132">
                  <c:v>2.38188334875188</c:v>
                </c:pt>
                <c:pt idx="133">
                  <c:v>2.38188334875188</c:v>
                </c:pt>
                <c:pt idx="134">
                  <c:v>2.38188334875188</c:v>
                </c:pt>
                <c:pt idx="135">
                  <c:v>2.38188334875188</c:v>
                </c:pt>
                <c:pt idx="136">
                  <c:v>2.38188334875188</c:v>
                </c:pt>
                <c:pt idx="137">
                  <c:v>2.38188334875188</c:v>
                </c:pt>
                <c:pt idx="138">
                  <c:v>2.38188334875188</c:v>
                </c:pt>
                <c:pt idx="139">
                  <c:v>2.38188334875188</c:v>
                </c:pt>
                <c:pt idx="140">
                  <c:v>2.38188334875188</c:v>
                </c:pt>
                <c:pt idx="141">
                  <c:v>2.38188334875188</c:v>
                </c:pt>
                <c:pt idx="142">
                  <c:v>2.38188334875188</c:v>
                </c:pt>
                <c:pt idx="143">
                  <c:v>2.38188334875188</c:v>
                </c:pt>
                <c:pt idx="144">
                  <c:v>2.38188334875188</c:v>
                </c:pt>
                <c:pt idx="145">
                  <c:v>2.38188334875188</c:v>
                </c:pt>
                <c:pt idx="146">
                  <c:v>2.38188334875188</c:v>
                </c:pt>
                <c:pt idx="147">
                  <c:v>2.38188334875188</c:v>
                </c:pt>
                <c:pt idx="148">
                  <c:v>2.38188334875188</c:v>
                </c:pt>
                <c:pt idx="149">
                  <c:v>2.38188334875188</c:v>
                </c:pt>
                <c:pt idx="150">
                  <c:v>2.38188334875188</c:v>
                </c:pt>
                <c:pt idx="151">
                  <c:v>2.38188334875188</c:v>
                </c:pt>
                <c:pt idx="152">
                  <c:v>2.38188334875188</c:v>
                </c:pt>
                <c:pt idx="153">
                  <c:v>2.38188334875188</c:v>
                </c:pt>
                <c:pt idx="154">
                  <c:v>2.38188334875188</c:v>
                </c:pt>
                <c:pt idx="155">
                  <c:v>2.38188334875188</c:v>
                </c:pt>
                <c:pt idx="156">
                  <c:v>2.38188334875188</c:v>
                </c:pt>
                <c:pt idx="157">
                  <c:v>2.38188334875188</c:v>
                </c:pt>
                <c:pt idx="158">
                  <c:v>2.38188334875188</c:v>
                </c:pt>
                <c:pt idx="159">
                  <c:v>2.38188334875188</c:v>
                </c:pt>
                <c:pt idx="160">
                  <c:v>2.38188334875188</c:v>
                </c:pt>
                <c:pt idx="161">
                  <c:v>2.38188334875188</c:v>
                </c:pt>
                <c:pt idx="162">
                  <c:v>2.38188334875188</c:v>
                </c:pt>
                <c:pt idx="163">
                  <c:v>2.38188334875188</c:v>
                </c:pt>
                <c:pt idx="164">
                  <c:v>2.38188334875188</c:v>
                </c:pt>
                <c:pt idx="165">
                  <c:v>2.38188334875188</c:v>
                </c:pt>
                <c:pt idx="166">
                  <c:v>2.38188334875188</c:v>
                </c:pt>
                <c:pt idx="167">
                  <c:v>2.38188334875188</c:v>
                </c:pt>
                <c:pt idx="168">
                  <c:v>2.38188334875188</c:v>
                </c:pt>
                <c:pt idx="169">
                  <c:v>2.38188334875188</c:v>
                </c:pt>
                <c:pt idx="170">
                  <c:v>2.38188334875188</c:v>
                </c:pt>
                <c:pt idx="171">
                  <c:v>2.38188334875188</c:v>
                </c:pt>
                <c:pt idx="172">
                  <c:v>2.38188334875188</c:v>
                </c:pt>
                <c:pt idx="173">
                  <c:v>2.38188334875188</c:v>
                </c:pt>
                <c:pt idx="174">
                  <c:v>2.38188334875188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0-4402-892E-2920462D5AF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IYF*/XLF*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2.37786457303896</c:v>
                </c:pt>
                <c:pt idx="51">
                  <c:v>2.37822695254216</c:v>
                </c:pt>
                <c:pt idx="52">
                  <c:v>2.3786976738934702</c:v>
                </c:pt>
                <c:pt idx="53">
                  <c:v>2.3790983245783499</c:v>
                </c:pt>
                <c:pt idx="54">
                  <c:v>2.3794618437605202</c:v>
                </c:pt>
                <c:pt idx="55">
                  <c:v>2.3798152832694699</c:v>
                </c:pt>
                <c:pt idx="56">
                  <c:v>2.3799641214222098</c:v>
                </c:pt>
                <c:pt idx="57">
                  <c:v>2.3801413282036101</c:v>
                </c:pt>
                <c:pt idx="58">
                  <c:v>2.3811123686737199</c:v>
                </c:pt>
                <c:pt idx="59">
                  <c:v>2.3815916593889002</c:v>
                </c:pt>
                <c:pt idx="60">
                  <c:v>2.38198831283818</c:v>
                </c:pt>
                <c:pt idx="61">
                  <c:v>2.38203208220229</c:v>
                </c:pt>
                <c:pt idx="62">
                  <c:v>2.3824666892080799</c:v>
                </c:pt>
                <c:pt idx="63">
                  <c:v>2.3833080543622001</c:v>
                </c:pt>
                <c:pt idx="64">
                  <c:v>2.3844069083766</c:v>
                </c:pt>
                <c:pt idx="65">
                  <c:v>2.3854012265584199</c:v>
                </c:pt>
                <c:pt idx="66">
                  <c:v>2.3867154178341701</c:v>
                </c:pt>
                <c:pt idx="67">
                  <c:v>2.3881087936890202</c:v>
                </c:pt>
                <c:pt idx="68">
                  <c:v>2.38880860533052</c:v>
                </c:pt>
                <c:pt idx="69">
                  <c:v>2.3900710805669401</c:v>
                </c:pt>
                <c:pt idx="70">
                  <c:v>2.3906594641056</c:v>
                </c:pt>
                <c:pt idx="71">
                  <c:v>2.3907271606112901</c:v>
                </c:pt>
                <c:pt idx="72">
                  <c:v>2.3907417243654301</c:v>
                </c:pt>
                <c:pt idx="73">
                  <c:v>2.3910486513759701</c:v>
                </c:pt>
                <c:pt idx="74">
                  <c:v>2.3914950075255601</c:v>
                </c:pt>
                <c:pt idx="75">
                  <c:v>2.3916778628214899</c:v>
                </c:pt>
                <c:pt idx="76">
                  <c:v>2.3921516199550901</c:v>
                </c:pt>
                <c:pt idx="77">
                  <c:v>2.3926267801236598</c:v>
                </c:pt>
                <c:pt idx="78">
                  <c:v>2.39307331027346</c:v>
                </c:pt>
                <c:pt idx="79">
                  <c:v>2.39371474519973</c:v>
                </c:pt>
                <c:pt idx="80">
                  <c:v>2.3920338479138898</c:v>
                </c:pt>
                <c:pt idx="81">
                  <c:v>2.3916907399244698</c:v>
                </c:pt>
                <c:pt idx="82">
                  <c:v>2.3912269768088099</c:v>
                </c:pt>
                <c:pt idx="83">
                  <c:v>2.3902599001036</c:v>
                </c:pt>
                <c:pt idx="84">
                  <c:v>2.3898545456338698</c:v>
                </c:pt>
                <c:pt idx="85">
                  <c:v>2.39025039404165</c:v>
                </c:pt>
                <c:pt idx="86">
                  <c:v>2.3892792448406301</c:v>
                </c:pt>
                <c:pt idx="87">
                  <c:v>2.3887750624495698</c:v>
                </c:pt>
                <c:pt idx="88">
                  <c:v>2.38787462204973</c:v>
                </c:pt>
                <c:pt idx="89">
                  <c:v>2.3865320072128098</c:v>
                </c:pt>
                <c:pt idx="90">
                  <c:v>2.38809357280575</c:v>
                </c:pt>
                <c:pt idx="91">
                  <c:v>2.3884124660206898</c:v>
                </c:pt>
                <c:pt idx="92">
                  <c:v>2.38809250968262</c:v>
                </c:pt>
                <c:pt idx="93">
                  <c:v>2.3876071811999</c:v>
                </c:pt>
                <c:pt idx="94">
                  <c:v>2.3862605254022098</c:v>
                </c:pt>
                <c:pt idx="95">
                  <c:v>2.38465648778446</c:v>
                </c:pt>
                <c:pt idx="96">
                  <c:v>2.3844249003226601</c:v>
                </c:pt>
                <c:pt idx="97">
                  <c:v>2.3834523616010199</c:v>
                </c:pt>
                <c:pt idx="98">
                  <c:v>2.38358940886702</c:v>
                </c:pt>
                <c:pt idx="99">
                  <c:v>2.3833784855566602</c:v>
                </c:pt>
                <c:pt idx="100">
                  <c:v>2.3828740631342802</c:v>
                </c:pt>
                <c:pt idx="101">
                  <c:v>2.3822291811212302</c:v>
                </c:pt>
                <c:pt idx="102">
                  <c:v>2.3822363422617401</c:v>
                </c:pt>
                <c:pt idx="103">
                  <c:v>2.3835880363055102</c:v>
                </c:pt>
                <c:pt idx="104">
                  <c:v>2.3848794829422499</c:v>
                </c:pt>
                <c:pt idx="105">
                  <c:v>2.3859877470153399</c:v>
                </c:pt>
                <c:pt idx="106">
                  <c:v>2.3864471850667899</c:v>
                </c:pt>
                <c:pt idx="107">
                  <c:v>2.38731018332065</c:v>
                </c:pt>
                <c:pt idx="108">
                  <c:v>2.3875835568713701</c:v>
                </c:pt>
                <c:pt idx="109">
                  <c:v>2.3887708933784402</c:v>
                </c:pt>
                <c:pt idx="110">
                  <c:v>2.39052520501453</c:v>
                </c:pt>
                <c:pt idx="111">
                  <c:v>2.3923958489467401</c:v>
                </c:pt>
                <c:pt idx="112">
                  <c:v>2.3938053177393499</c:v>
                </c:pt>
                <c:pt idx="113">
                  <c:v>2.3938449948326199</c:v>
                </c:pt>
                <c:pt idx="114">
                  <c:v>2.3939134751787599</c:v>
                </c:pt>
                <c:pt idx="115">
                  <c:v>2.39368979786647</c:v>
                </c:pt>
                <c:pt idx="116">
                  <c:v>2.3940881585630698</c:v>
                </c:pt>
                <c:pt idx="117">
                  <c:v>2.39448044201596</c:v>
                </c:pt>
                <c:pt idx="118">
                  <c:v>2.3940483218373099</c:v>
                </c:pt>
                <c:pt idx="119">
                  <c:v>2.3933725886309198</c:v>
                </c:pt>
                <c:pt idx="120">
                  <c:v>2.3919904770248399</c:v>
                </c:pt>
                <c:pt idx="121">
                  <c:v>2.3896780380454601</c:v>
                </c:pt>
                <c:pt idx="122">
                  <c:v>2.3878309381420499</c:v>
                </c:pt>
                <c:pt idx="123">
                  <c:v>2.38646454656622</c:v>
                </c:pt>
                <c:pt idx="124">
                  <c:v>2.3844233331632498</c:v>
                </c:pt>
                <c:pt idx="125">
                  <c:v>2.38351369289221</c:v>
                </c:pt>
                <c:pt idx="126">
                  <c:v>2.3824682044433199</c:v>
                </c:pt>
                <c:pt idx="127">
                  <c:v>2.3816104476511</c:v>
                </c:pt>
                <c:pt idx="128">
                  <c:v>2.3815510363770702</c:v>
                </c:pt>
                <c:pt idx="129">
                  <c:v>2.3814323978106202</c:v>
                </c:pt>
                <c:pt idx="130">
                  <c:v>2.3805112413280098</c:v>
                </c:pt>
                <c:pt idx="131">
                  <c:v>2.38063818676215</c:v>
                </c:pt>
                <c:pt idx="132">
                  <c:v>2.3805913360062498</c:v>
                </c:pt>
                <c:pt idx="133">
                  <c:v>2.3799687189863001</c:v>
                </c:pt>
                <c:pt idx="134">
                  <c:v>2.3803640045006098</c:v>
                </c:pt>
                <c:pt idx="135">
                  <c:v>2.37953961497987</c:v>
                </c:pt>
                <c:pt idx="136">
                  <c:v>2.3786609566925199</c:v>
                </c:pt>
                <c:pt idx="137">
                  <c:v>2.3777184297736902</c:v>
                </c:pt>
                <c:pt idx="138">
                  <c:v>2.3770882242995</c:v>
                </c:pt>
                <c:pt idx="139">
                  <c:v>2.3765166040271901</c:v>
                </c:pt>
                <c:pt idx="140">
                  <c:v>2.3764187098939602</c:v>
                </c:pt>
                <c:pt idx="141">
                  <c:v>2.3758842114069498</c:v>
                </c:pt>
                <c:pt idx="142">
                  <c:v>2.3748161791576101</c:v>
                </c:pt>
                <c:pt idx="143">
                  <c:v>2.3741446434902498</c:v>
                </c:pt>
                <c:pt idx="144">
                  <c:v>2.3730994185442502</c:v>
                </c:pt>
                <c:pt idx="145">
                  <c:v>2.3727886561027498</c:v>
                </c:pt>
                <c:pt idx="146">
                  <c:v>2.3721435366888999</c:v>
                </c:pt>
                <c:pt idx="147">
                  <c:v>2.3713386057467001</c:v>
                </c:pt>
                <c:pt idx="148">
                  <c:v>2.3700392725068702</c:v>
                </c:pt>
                <c:pt idx="149">
                  <c:v>2.3695684968897499</c:v>
                </c:pt>
                <c:pt idx="150">
                  <c:v>2.3695165023959301</c:v>
                </c:pt>
                <c:pt idx="151">
                  <c:v>2.3698371122575201</c:v>
                </c:pt>
                <c:pt idx="152">
                  <c:v>2.3709153522166599</c:v>
                </c:pt>
                <c:pt idx="153">
                  <c:v>2.3722213489283202</c:v>
                </c:pt>
                <c:pt idx="154">
                  <c:v>2.3735194587657</c:v>
                </c:pt>
                <c:pt idx="155">
                  <c:v>2.37458970204248</c:v>
                </c:pt>
                <c:pt idx="156">
                  <c:v>2.3749263789655002</c:v>
                </c:pt>
                <c:pt idx="157">
                  <c:v>2.37489560364335</c:v>
                </c:pt>
                <c:pt idx="158">
                  <c:v>2.3749923208266899</c:v>
                </c:pt>
                <c:pt idx="159">
                  <c:v>2.3742705480361499</c:v>
                </c:pt>
                <c:pt idx="160">
                  <c:v>2.3726145647397301</c:v>
                </c:pt>
                <c:pt idx="161">
                  <c:v>2.3709817603574699</c:v>
                </c:pt>
                <c:pt idx="162">
                  <c:v>2.3692677942918401</c:v>
                </c:pt>
                <c:pt idx="163">
                  <c:v>2.3680124892714098</c:v>
                </c:pt>
                <c:pt idx="164">
                  <c:v>2.36662292827639</c:v>
                </c:pt>
                <c:pt idx="165">
                  <c:v>2.36515120523869</c:v>
                </c:pt>
                <c:pt idx="166">
                  <c:v>2.3646929843447899</c:v>
                </c:pt>
                <c:pt idx="167">
                  <c:v>2.3640746812404898</c:v>
                </c:pt>
                <c:pt idx="168">
                  <c:v>2.3646016330292801</c:v>
                </c:pt>
                <c:pt idx="169">
                  <c:v>2.3652751771910201</c:v>
                </c:pt>
                <c:pt idx="170">
                  <c:v>2.3668119669929499</c:v>
                </c:pt>
                <c:pt idx="171">
                  <c:v>2.3680394371007201</c:v>
                </c:pt>
                <c:pt idx="172">
                  <c:v>2.3691678802571601</c:v>
                </c:pt>
                <c:pt idx="173">
                  <c:v>2.3694646182755901</c:v>
                </c:pt>
                <c:pt idx="174">
                  <c:v>2.3697615239413898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0-4402-892E-2920462D5AF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IYF*/XLF*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2.3846262767500899</c:v>
                </c:pt>
                <c:pt idx="51">
                  <c:v>2.38439715371381</c:v>
                </c:pt>
                <c:pt idx="52">
                  <c:v>2.3840868804175801</c:v>
                </c:pt>
                <c:pt idx="53">
                  <c:v>2.3836986514197198</c:v>
                </c:pt>
                <c:pt idx="54">
                  <c:v>2.3827869810880702</c:v>
                </c:pt>
                <c:pt idx="55">
                  <c:v>2.38182303355071</c:v>
                </c:pt>
                <c:pt idx="56">
                  <c:v>2.3811101122902398</c:v>
                </c:pt>
                <c:pt idx="57">
                  <c:v>2.3804043601422902</c:v>
                </c:pt>
                <c:pt idx="58">
                  <c:v>2.3804045085845602</c:v>
                </c:pt>
                <c:pt idx="59">
                  <c:v>2.3799214236320401</c:v>
                </c:pt>
                <c:pt idx="60">
                  <c:v>2.37992644293857</c:v>
                </c:pt>
                <c:pt idx="61">
                  <c:v>2.3801295173722301</c:v>
                </c:pt>
                <c:pt idx="62">
                  <c:v>2.3805821815507802</c:v>
                </c:pt>
                <c:pt idx="63">
                  <c:v>2.3812031894702801</c:v>
                </c:pt>
                <c:pt idx="64">
                  <c:v>2.3819343760685601</c:v>
                </c:pt>
                <c:pt idx="65">
                  <c:v>2.3826082549139498</c:v>
                </c:pt>
                <c:pt idx="66">
                  <c:v>2.3833397696281899</c:v>
                </c:pt>
                <c:pt idx="67">
                  <c:v>2.3841250609463098</c:v>
                </c:pt>
                <c:pt idx="68">
                  <c:v>2.3849604870021199</c:v>
                </c:pt>
                <c:pt idx="69">
                  <c:v>2.3858313699779199</c:v>
                </c:pt>
                <c:pt idx="70">
                  <c:v>2.3863238884718898</c:v>
                </c:pt>
                <c:pt idx="71">
                  <c:v>2.3863796214067898</c:v>
                </c:pt>
                <c:pt idx="72">
                  <c:v>2.3866042067867599</c:v>
                </c:pt>
                <c:pt idx="73">
                  <c:v>2.38717835286909</c:v>
                </c:pt>
                <c:pt idx="74">
                  <c:v>2.3879509579510798</c:v>
                </c:pt>
                <c:pt idx="75">
                  <c:v>2.3885395446899498</c:v>
                </c:pt>
                <c:pt idx="76">
                  <c:v>2.3894335188946298</c:v>
                </c:pt>
                <c:pt idx="77">
                  <c:v>2.39036778690634</c:v>
                </c:pt>
                <c:pt idx="78">
                  <c:v>2.3909409578019898</c:v>
                </c:pt>
                <c:pt idx="79">
                  <c:v>2.3918929128833302</c:v>
                </c:pt>
                <c:pt idx="80">
                  <c:v>2.39134665600975</c:v>
                </c:pt>
                <c:pt idx="81">
                  <c:v>2.3912089502678802</c:v>
                </c:pt>
                <c:pt idx="82">
                  <c:v>2.3909843505871202</c:v>
                </c:pt>
                <c:pt idx="83">
                  <c:v>2.3906542757397902</c:v>
                </c:pt>
                <c:pt idx="84">
                  <c:v>2.3906747765797198</c:v>
                </c:pt>
                <c:pt idx="85">
                  <c:v>2.3909641284315701</c:v>
                </c:pt>
                <c:pt idx="86">
                  <c:v>2.3907154323978599</c:v>
                </c:pt>
                <c:pt idx="87">
                  <c:v>2.3907009212866099</c:v>
                </c:pt>
                <c:pt idx="88">
                  <c:v>2.3904739661615899</c:v>
                </c:pt>
                <c:pt idx="89">
                  <c:v>2.3901233762062701</c:v>
                </c:pt>
                <c:pt idx="90">
                  <c:v>2.3900637103598199</c:v>
                </c:pt>
                <c:pt idx="91">
                  <c:v>2.39005160297258</c:v>
                </c:pt>
                <c:pt idx="92">
                  <c:v>2.3896597432457201</c:v>
                </c:pt>
                <c:pt idx="93">
                  <c:v>2.3889335406517498</c:v>
                </c:pt>
                <c:pt idx="94">
                  <c:v>2.38805753551804</c:v>
                </c:pt>
                <c:pt idx="95">
                  <c:v>2.3874534409130499</c:v>
                </c:pt>
                <c:pt idx="96">
                  <c:v>2.38685207258164</c:v>
                </c:pt>
                <c:pt idx="97">
                  <c:v>2.3861137120252902</c:v>
                </c:pt>
                <c:pt idx="98">
                  <c:v>2.3857320154583701</c:v>
                </c:pt>
                <c:pt idx="99">
                  <c:v>2.3849552463847301</c:v>
                </c:pt>
                <c:pt idx="100">
                  <c:v>2.3854838179700102</c:v>
                </c:pt>
                <c:pt idx="101">
                  <c:v>2.38532082357096</c:v>
                </c:pt>
                <c:pt idx="102">
                  <c:v>2.3851644259721798</c:v>
                </c:pt>
                <c:pt idx="103">
                  <c:v>2.3855976087527102</c:v>
                </c:pt>
                <c:pt idx="104">
                  <c:v>2.3855700041722301</c:v>
                </c:pt>
                <c:pt idx="105">
                  <c:v>2.3853221173999</c:v>
                </c:pt>
                <c:pt idx="106">
                  <c:v>2.3854360426947299</c:v>
                </c:pt>
                <c:pt idx="107">
                  <c:v>2.3853812724608301</c:v>
                </c:pt>
                <c:pt idx="108">
                  <c:v>2.38558648286919</c:v>
                </c:pt>
                <c:pt idx="109">
                  <c:v>2.38607468946755</c:v>
                </c:pt>
                <c:pt idx="110">
                  <c:v>2.38669963407441</c:v>
                </c:pt>
                <c:pt idx="111">
                  <c:v>2.3873125150339898</c:v>
                </c:pt>
                <c:pt idx="112">
                  <c:v>2.3880208300005399</c:v>
                </c:pt>
                <c:pt idx="113">
                  <c:v>2.3887165155690702</c:v>
                </c:pt>
                <c:pt idx="114">
                  <c:v>2.38939647906051</c:v>
                </c:pt>
                <c:pt idx="115">
                  <c:v>2.3898387724408998</c:v>
                </c:pt>
                <c:pt idx="116">
                  <c:v>2.3902676718149301</c:v>
                </c:pt>
                <c:pt idx="117">
                  <c:v>2.3908953126683001</c:v>
                </c:pt>
                <c:pt idx="118">
                  <c:v>2.39081593935434</c:v>
                </c:pt>
                <c:pt idx="119">
                  <c:v>2.39107174100468</c:v>
                </c:pt>
                <c:pt idx="120">
                  <c:v>2.3912578410196801</c:v>
                </c:pt>
                <c:pt idx="121">
                  <c:v>2.3910369434961001</c:v>
                </c:pt>
                <c:pt idx="122">
                  <c:v>2.3908181279407001</c:v>
                </c:pt>
                <c:pt idx="123">
                  <c:v>2.3901547706994202</c:v>
                </c:pt>
                <c:pt idx="124">
                  <c:v>2.3891684041710102</c:v>
                </c:pt>
                <c:pt idx="125">
                  <c:v>2.38860174537934</c:v>
                </c:pt>
                <c:pt idx="126">
                  <c:v>2.3882781815031899</c:v>
                </c:pt>
                <c:pt idx="127">
                  <c:v>2.38804544483353</c:v>
                </c:pt>
                <c:pt idx="128">
                  <c:v>2.3877996791071898</c:v>
                </c:pt>
                <c:pt idx="129">
                  <c:v>2.3874024932207698</c:v>
                </c:pt>
                <c:pt idx="130">
                  <c:v>2.3862508591764202</c:v>
                </c:pt>
                <c:pt idx="131">
                  <c:v>2.3851581124038002</c:v>
                </c:pt>
                <c:pt idx="132">
                  <c:v>2.3842111370741499</c:v>
                </c:pt>
                <c:pt idx="133">
                  <c:v>2.3832166327762598</c:v>
                </c:pt>
                <c:pt idx="134">
                  <c:v>2.3823936688319298</c:v>
                </c:pt>
                <c:pt idx="135">
                  <c:v>2.38152665393604</c:v>
                </c:pt>
                <c:pt idx="136">
                  <c:v>2.3805645805679201</c:v>
                </c:pt>
                <c:pt idx="137">
                  <c:v>2.37966443871239</c:v>
                </c:pt>
                <c:pt idx="138">
                  <c:v>2.3793196303382902</c:v>
                </c:pt>
                <c:pt idx="139">
                  <c:v>2.3789745009189098</c:v>
                </c:pt>
                <c:pt idx="140">
                  <c:v>2.3784649756109801</c:v>
                </c:pt>
                <c:pt idx="141">
                  <c:v>2.3782611990845499</c:v>
                </c:pt>
                <c:pt idx="142">
                  <c:v>2.37770375758193</c:v>
                </c:pt>
                <c:pt idx="143">
                  <c:v>2.3770566812382801</c:v>
                </c:pt>
                <c:pt idx="144">
                  <c:v>2.3767317115224298</c:v>
                </c:pt>
                <c:pt idx="145">
                  <c:v>2.3761641355413099</c:v>
                </c:pt>
                <c:pt idx="146">
                  <c:v>2.3754022466907099</c:v>
                </c:pt>
                <c:pt idx="147">
                  <c:v>2.3745285177601998</c:v>
                </c:pt>
                <c:pt idx="148">
                  <c:v>2.37356374840319</c:v>
                </c:pt>
                <c:pt idx="149">
                  <c:v>2.3730425504584698</c:v>
                </c:pt>
                <c:pt idx="150">
                  <c:v>2.3729676061449401</c:v>
                </c:pt>
                <c:pt idx="151">
                  <c:v>2.3728606618322399</c:v>
                </c:pt>
                <c:pt idx="152">
                  <c:v>2.3728657656871399</c:v>
                </c:pt>
                <c:pt idx="153">
                  <c:v>2.3731829962092799</c:v>
                </c:pt>
                <c:pt idx="154">
                  <c:v>2.37330943865497</c:v>
                </c:pt>
                <c:pt idx="155">
                  <c:v>2.3736891790726098</c:v>
                </c:pt>
                <c:pt idx="156">
                  <c:v>2.3735349578272</c:v>
                </c:pt>
                <c:pt idx="157">
                  <c:v>2.3731171046950199</c:v>
                </c:pt>
                <c:pt idx="158">
                  <c:v>2.37251579666678</c:v>
                </c:pt>
                <c:pt idx="159">
                  <c:v>2.3719195224629499</c:v>
                </c:pt>
                <c:pt idx="160">
                  <c:v>2.3710655335678301</c:v>
                </c:pt>
                <c:pt idx="161">
                  <c:v>2.3704094363074999</c:v>
                </c:pt>
                <c:pt idx="162">
                  <c:v>2.3700915732542498</c:v>
                </c:pt>
                <c:pt idx="163">
                  <c:v>2.3701169190998601</c:v>
                </c:pt>
                <c:pt idx="164">
                  <c:v>2.3700711935210399</c:v>
                </c:pt>
                <c:pt idx="165">
                  <c:v>2.3698704536405901</c:v>
                </c:pt>
                <c:pt idx="166">
                  <c:v>2.3698096816551399</c:v>
                </c:pt>
                <c:pt idx="167">
                  <c:v>2.3694851424419201</c:v>
                </c:pt>
                <c:pt idx="168">
                  <c:v>2.3697969769279799</c:v>
                </c:pt>
                <c:pt idx="169">
                  <c:v>2.3697728626135799</c:v>
                </c:pt>
                <c:pt idx="170">
                  <c:v>2.36971326586634</c:v>
                </c:pt>
                <c:pt idx="171">
                  <c:v>2.3695105987290899</c:v>
                </c:pt>
                <c:pt idx="172">
                  <c:v>2.3692178372744999</c:v>
                </c:pt>
                <c:pt idx="173">
                  <c:v>2.3687385537735</c:v>
                </c:pt>
                <c:pt idx="174">
                  <c:v>2.3681922261088899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0-4402-892E-2920462D5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XLF x avg / IYF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6.68803136380437E-3</c:v>
                </c:pt>
                <c:pt idx="2">
                  <c:v>9.8312559829691493E-3</c:v>
                </c:pt>
                <c:pt idx="3">
                  <c:v>1.2099064229999301E-2</c:v>
                </c:pt>
                <c:pt idx="4">
                  <c:v>1.00658592059655E-2</c:v>
                </c:pt>
                <c:pt idx="5">
                  <c:v>8.7668059612983403E-3</c:v>
                </c:pt>
                <c:pt idx="6">
                  <c:v>4.5717544190970998E-3</c:v>
                </c:pt>
                <c:pt idx="7">
                  <c:v>-1.0645933639550601E-4</c:v>
                </c:pt>
                <c:pt idx="8">
                  <c:v>-2.65682829335469E-4</c:v>
                </c:pt>
                <c:pt idx="9">
                  <c:v>-2.1628335085637799E-3</c:v>
                </c:pt>
                <c:pt idx="10">
                  <c:v>-1.4925197223607399E-3</c:v>
                </c:pt>
                <c:pt idx="11">
                  <c:v>-2.0236861023789601E-3</c:v>
                </c:pt>
                <c:pt idx="12">
                  <c:v>-3.9780878106530203E-3</c:v>
                </c:pt>
                <c:pt idx="13">
                  <c:v>-2.0577206411444399E-3</c:v>
                </c:pt>
                <c:pt idx="14">
                  <c:v>-2.7358165534595502E-3</c:v>
                </c:pt>
                <c:pt idx="15">
                  <c:v>-2.32871009764227E-3</c:v>
                </c:pt>
                <c:pt idx="16">
                  <c:v>-4.7656190190539204E-3</c:v>
                </c:pt>
                <c:pt idx="17">
                  <c:v>-4.2443968885924098E-3</c:v>
                </c:pt>
                <c:pt idx="18">
                  <c:v>-1.5133452521138499E-3</c:v>
                </c:pt>
                <c:pt idx="19">
                  <c:v>-3.41300810939361E-3</c:v>
                </c:pt>
                <c:pt idx="20">
                  <c:v>7.7717046052685405E-4</c:v>
                </c:pt>
                <c:pt idx="21">
                  <c:v>-1.5736635954989901E-3</c:v>
                </c:pt>
                <c:pt idx="22">
                  <c:v>-1.6075546210214499E-3</c:v>
                </c:pt>
                <c:pt idx="23">
                  <c:v>-3.3338614128685702E-4</c:v>
                </c:pt>
                <c:pt idx="24">
                  <c:v>-3.26284534185105E-3</c:v>
                </c:pt>
                <c:pt idx="25">
                  <c:v>-5.5458228316304804E-3</c:v>
                </c:pt>
                <c:pt idx="26">
                  <c:v>-1.3567404440261699E-3</c:v>
                </c:pt>
                <c:pt idx="27">
                  <c:v>-4.9444034895053705E-4</c:v>
                </c:pt>
                <c:pt idx="28">
                  <c:v>-1.80703810929197E-3</c:v>
                </c:pt>
                <c:pt idx="29">
                  <c:v>-6.7082359606499397E-3</c:v>
                </c:pt>
                <c:pt idx="30">
                  <c:v>-4.2391968132759099E-3</c:v>
                </c:pt>
                <c:pt idx="31">
                  <c:v>-4.4561309643775596E-3</c:v>
                </c:pt>
                <c:pt idx="32">
                  <c:v>-4.5564845921114601E-3</c:v>
                </c:pt>
                <c:pt idx="33">
                  <c:v>-2.6961438316112801E-3</c:v>
                </c:pt>
                <c:pt idx="34">
                  <c:v>-7.0837845200494402E-3</c:v>
                </c:pt>
                <c:pt idx="35">
                  <c:v>-7.7411652400015503E-3</c:v>
                </c:pt>
                <c:pt idx="36">
                  <c:v>-5.1997803647322698E-3</c:v>
                </c:pt>
                <c:pt idx="37">
                  <c:v>-5.0554516765131804E-3</c:v>
                </c:pt>
                <c:pt idx="38">
                  <c:v>-1.0757007567610999E-3</c:v>
                </c:pt>
                <c:pt idx="39">
                  <c:v>-3.0355294200750099E-3</c:v>
                </c:pt>
                <c:pt idx="40">
                  <c:v>-7.0280867330027705E-4</c:v>
                </c:pt>
                <c:pt idx="41">
                  <c:v>-1.0196528223483201E-3</c:v>
                </c:pt>
                <c:pt idx="42">
                  <c:v>1.5478918563997299E-5</c:v>
                </c:pt>
                <c:pt idx="43">
                  <c:v>2.2455527767767602E-3</c:v>
                </c:pt>
                <c:pt idx="44">
                  <c:v>2.0760964276048898E-3</c:v>
                </c:pt>
                <c:pt idx="45">
                  <c:v>1.8100185928084499E-3</c:v>
                </c:pt>
                <c:pt idx="46">
                  <c:v>1.3999225055942399E-3</c:v>
                </c:pt>
                <c:pt idx="47">
                  <c:v>1.6042150704328199E-3</c:v>
                </c:pt>
                <c:pt idx="48">
                  <c:v>3.0044937153314299E-3</c:v>
                </c:pt>
                <c:pt idx="49">
                  <c:v>3.03411281243438E-3</c:v>
                </c:pt>
                <c:pt idx="50">
                  <c:v>5.81957896393763E-3</c:v>
                </c:pt>
                <c:pt idx="51">
                  <c:v>2.40215293232021E-3</c:v>
                </c:pt>
                <c:pt idx="52">
                  <c:v>2.9824075659841999E-3</c:v>
                </c:pt>
                <c:pt idx="53">
                  <c:v>5.5058262813928501E-3</c:v>
                </c:pt>
                <c:pt idx="54">
                  <c:v>5.4763378360849098E-4</c:v>
                </c:pt>
                <c:pt idx="55">
                  <c:v>3.2430081672386499E-4</c:v>
                </c:pt>
                <c:pt idx="56">
                  <c:v>7.74254159800022E-4</c:v>
                </c:pt>
                <c:pt idx="57">
                  <c:v>8.5918628781955298E-4</c:v>
                </c:pt>
                <c:pt idx="58">
                  <c:v>-1.0769460681316499E-3</c:v>
                </c:pt>
                <c:pt idx="59">
                  <c:v>1.0174349659266501E-3</c:v>
                </c:pt>
                <c:pt idx="60">
                  <c:v>-7.4493146482875697E-4</c:v>
                </c:pt>
                <c:pt idx="61">
                  <c:v>-2.7219309623983099E-3</c:v>
                </c:pt>
                <c:pt idx="62">
                  <c:v>-3.77895014904927E-3</c:v>
                </c:pt>
                <c:pt idx="63">
                  <c:v>-2.9679256879958098E-3</c:v>
                </c:pt>
                <c:pt idx="64">
                  <c:v>-4.0584840780320602E-3</c:v>
                </c:pt>
                <c:pt idx="65">
                  <c:v>-3.84361233205395E-3</c:v>
                </c:pt>
                <c:pt idx="66">
                  <c:v>-4.7332666283315802E-3</c:v>
                </c:pt>
                <c:pt idx="67">
                  <c:v>-4.9797092605077496E-3</c:v>
                </c:pt>
                <c:pt idx="68">
                  <c:v>-4.0080729080618997E-3</c:v>
                </c:pt>
                <c:pt idx="69">
                  <c:v>-4.2752098173156998E-3</c:v>
                </c:pt>
                <c:pt idx="70">
                  <c:v>-3.2107393874270199E-3</c:v>
                </c:pt>
                <c:pt idx="71">
                  <c:v>-3.0053835219248301E-3</c:v>
                </c:pt>
                <c:pt idx="72">
                  <c:v>-3.83987251137837E-3</c:v>
                </c:pt>
                <c:pt idx="73">
                  <c:v>-4.2521032370163303E-3</c:v>
                </c:pt>
                <c:pt idx="74">
                  <c:v>-5.9234534858745198E-3</c:v>
                </c:pt>
                <c:pt idx="75">
                  <c:v>-4.6082048546471103E-3</c:v>
                </c:pt>
                <c:pt idx="76">
                  <c:v>-6.7112759937941104E-3</c:v>
                </c:pt>
                <c:pt idx="77">
                  <c:v>-6.9630823439859298E-3</c:v>
                </c:pt>
                <c:pt idx="78">
                  <c:v>-5.8738626140231696E-3</c:v>
                </c:pt>
                <c:pt idx="79">
                  <c:v>-6.9535884649454304E-3</c:v>
                </c:pt>
                <c:pt idx="80">
                  <c:v>3.8497831431514502E-3</c:v>
                </c:pt>
                <c:pt idx="81">
                  <c:v>-1.5679243604672299E-3</c:v>
                </c:pt>
                <c:pt idx="82">
                  <c:v>-1.8980570084576999E-3</c:v>
                </c:pt>
                <c:pt idx="83">
                  <c:v>-2.00269581872946E-4</c:v>
                </c:pt>
                <c:pt idx="84">
                  <c:v>-4.2299428242242396E-3</c:v>
                </c:pt>
                <c:pt idx="85">
                  <c:v>-6.2614084808565798E-3</c:v>
                </c:pt>
                <c:pt idx="86">
                  <c:v>-2.6523589585258698E-3</c:v>
                </c:pt>
                <c:pt idx="87">
                  <c:v>-4.8584396052986896E-3</c:v>
                </c:pt>
                <c:pt idx="88">
                  <c:v>-2.1078713626362E-3</c:v>
                </c:pt>
                <c:pt idx="89">
                  <c:v>-1.33912921850912E-3</c:v>
                </c:pt>
                <c:pt idx="90">
                  <c:v>-2.7111333456016698E-3</c:v>
                </c:pt>
                <c:pt idx="91">
                  <c:v>-2.9040028828949301E-3</c:v>
                </c:pt>
                <c:pt idx="92">
                  <c:v>-5.56171203007257E-4</c:v>
                </c:pt>
                <c:pt idx="93">
                  <c:v>1.83935120427363E-3</c:v>
                </c:pt>
                <c:pt idx="94">
                  <c:v>1.4168646228509801E-3</c:v>
                </c:pt>
                <c:pt idx="95">
                  <c:v>4.54590184048214E-4</c:v>
                </c:pt>
                <c:pt idx="96">
                  <c:v>-1.6820017551540799E-3</c:v>
                </c:pt>
                <c:pt idx="97">
                  <c:v>-7.8614960840689397E-4</c:v>
                </c:pt>
                <c:pt idx="98">
                  <c:v>-2.6819720563541001E-3</c:v>
                </c:pt>
                <c:pt idx="99">
                  <c:v>-4.5423176762606702E-4</c:v>
                </c:pt>
                <c:pt idx="100">
                  <c:v>-5.9650591964955702E-4</c:v>
                </c:pt>
                <c:pt idx="101">
                  <c:v>-2.00269581872946E-4</c:v>
                </c:pt>
                <c:pt idx="102">
                  <c:v>-5.8622448658700397E-4</c:v>
                </c:pt>
                <c:pt idx="103">
                  <c:v>-3.83091122591433E-3</c:v>
                </c:pt>
                <c:pt idx="104">
                  <c:v>-3.9990650949617203E-3</c:v>
                </c:pt>
                <c:pt idx="105">
                  <c:v>-4.1904495743307901E-3</c:v>
                </c:pt>
                <c:pt idx="106">
                  <c:v>-3.6061405307142099E-3</c:v>
                </c:pt>
                <c:pt idx="107">
                  <c:v>-4.4005910825639398E-3</c:v>
                </c:pt>
                <c:pt idx="108">
                  <c:v>-3.8261696965210001E-3</c:v>
                </c:pt>
                <c:pt idx="109">
                  <c:v>-5.4253539902348403E-3</c:v>
                </c:pt>
                <c:pt idx="110">
                  <c:v>-7.9317014730275592E-3</c:v>
                </c:pt>
                <c:pt idx="111">
                  <c:v>-8.0230681909563596E-3</c:v>
                </c:pt>
                <c:pt idx="112">
                  <c:v>-3.5165173959356599E-3</c:v>
                </c:pt>
                <c:pt idx="113">
                  <c:v>-1.06543637279117E-3</c:v>
                </c:pt>
                <c:pt idx="114">
                  <c:v>-1.33855763076103E-3</c:v>
                </c:pt>
                <c:pt idx="115">
                  <c:v>-2.7830215230632198E-4</c:v>
                </c:pt>
                <c:pt idx="116">
                  <c:v>-5.2714942137284202E-3</c:v>
                </c:pt>
                <c:pt idx="117">
                  <c:v>-6.03925827574491E-3</c:v>
                </c:pt>
                <c:pt idx="118">
                  <c:v>-2.0169409682967501E-3</c:v>
                </c:pt>
                <c:pt idx="119">
                  <c:v>-2.5992352684368601E-3</c:v>
                </c:pt>
                <c:pt idx="120">
                  <c:v>-2.1572661436169301E-3</c:v>
                </c:pt>
                <c:pt idx="121">
                  <c:v>1.65622950916519E-3</c:v>
                </c:pt>
                <c:pt idx="122">
                  <c:v>1.25205064470554E-3</c:v>
                </c:pt>
                <c:pt idx="123">
                  <c:v>1.73427155603013E-3</c:v>
                </c:pt>
                <c:pt idx="124">
                  <c:v>4.2858326687353603E-3</c:v>
                </c:pt>
                <c:pt idx="125">
                  <c:v>5.59846137114921E-4</c:v>
                </c:pt>
                <c:pt idx="126">
                  <c:v>-8.9488588366657296E-4</c:v>
                </c:pt>
                <c:pt idx="127">
                  <c:v>-2.4527013349164E-3</c:v>
                </c:pt>
                <c:pt idx="128">
                  <c:v>-1.76793784691362E-3</c:v>
                </c:pt>
                <c:pt idx="129">
                  <c:v>-2.10222795559491E-3</c:v>
                </c:pt>
                <c:pt idx="130">
                  <c:v>1.70990865162783E-3</c:v>
                </c:pt>
                <c:pt idx="131">
                  <c:v>1.1224298882517099E-3</c:v>
                </c:pt>
                <c:pt idx="132">
                  <c:v>1.44904824713338E-3</c:v>
                </c:pt>
                <c:pt idx="133">
                  <c:v>4.3566858375839804E-3</c:v>
                </c:pt>
                <c:pt idx="134">
                  <c:v>2.6202419694509901E-3</c:v>
                </c:pt>
                <c:pt idx="135">
                  <c:v>4.0295036831226603E-3</c:v>
                </c:pt>
                <c:pt idx="136">
                  <c:v>2.7982124176364601E-3</c:v>
                </c:pt>
                <c:pt idx="137">
                  <c:v>1.5031968003460701E-3</c:v>
                </c:pt>
                <c:pt idx="138">
                  <c:v>8.7718851443314505E-4</c:v>
                </c:pt>
                <c:pt idx="139">
                  <c:v>2.95904037425378E-4</c:v>
                </c:pt>
                <c:pt idx="140">
                  <c:v>2.1217656999590901E-3</c:v>
                </c:pt>
                <c:pt idx="141">
                  <c:v>3.3718994586544901E-3</c:v>
                </c:pt>
                <c:pt idx="142">
                  <c:v>5.9504583884474899E-3</c:v>
                </c:pt>
                <c:pt idx="143">
                  <c:v>7.1928717541919901E-3</c:v>
                </c:pt>
                <c:pt idx="144">
                  <c:v>7.0304882929932101E-3</c:v>
                </c:pt>
                <c:pt idx="145">
                  <c:v>5.3405588902521199E-3</c:v>
                </c:pt>
                <c:pt idx="146">
                  <c:v>5.5184304575847101E-3</c:v>
                </c:pt>
                <c:pt idx="147">
                  <c:v>4.8940216358743498E-3</c:v>
                </c:pt>
                <c:pt idx="148">
                  <c:v>6.35299160664431E-3</c:v>
                </c:pt>
                <c:pt idx="149">
                  <c:v>2.2752878782037402E-3</c:v>
                </c:pt>
                <c:pt idx="150">
                  <c:v>2.3405842538117001E-3</c:v>
                </c:pt>
                <c:pt idx="151">
                  <c:v>2.0219860419277498E-3</c:v>
                </c:pt>
                <c:pt idx="152">
                  <c:v>1.4061236616184701E-3</c:v>
                </c:pt>
                <c:pt idx="153">
                  <c:v>1.6844520449911099E-3</c:v>
                </c:pt>
                <c:pt idx="154">
                  <c:v>1.55612944940673E-3</c:v>
                </c:pt>
                <c:pt idx="155">
                  <c:v>8.3259501972233205E-4</c:v>
                </c:pt>
                <c:pt idx="156">
                  <c:v>4.0978714800437603E-3</c:v>
                </c:pt>
                <c:pt idx="157">
                  <c:v>5.02389319612195E-3</c:v>
                </c:pt>
                <c:pt idx="158">
                  <c:v>5.9443601686082403E-3</c:v>
                </c:pt>
                <c:pt idx="159">
                  <c:v>5.31762208647007E-3</c:v>
                </c:pt>
                <c:pt idx="160">
                  <c:v>9.3349474289665807E-3</c:v>
                </c:pt>
                <c:pt idx="161">
                  <c:v>8.9159059433332796E-3</c:v>
                </c:pt>
                <c:pt idx="162">
                  <c:v>8.6394898614147193E-3</c:v>
                </c:pt>
                <c:pt idx="163">
                  <c:v>6.9784978800549501E-3</c:v>
                </c:pt>
                <c:pt idx="164">
                  <c:v>7.4172863660450098E-3</c:v>
                </c:pt>
                <c:pt idx="165">
                  <c:v>7.0368841735623704E-3</c:v>
                </c:pt>
                <c:pt idx="166">
                  <c:v>6.0317636082873596E-3</c:v>
                </c:pt>
                <c:pt idx="167">
                  <c:v>7.6367061492362102E-3</c:v>
                </c:pt>
                <c:pt idx="168">
                  <c:v>3.7209100890310499E-3</c:v>
                </c:pt>
                <c:pt idx="169">
                  <c:v>2.4782873661194698E-3</c:v>
                </c:pt>
                <c:pt idx="170">
                  <c:v>2.8423902186364802E-3</c:v>
                </c:pt>
                <c:pt idx="171">
                  <c:v>3.7289324056021598E-3</c:v>
                </c:pt>
                <c:pt idx="172">
                  <c:v>3.87129756869228E-3</c:v>
                </c:pt>
                <c:pt idx="173">
                  <c:v>5.7245213962081702E-3</c:v>
                </c:pt>
                <c:pt idx="174">
                  <c:v>6.1620515538968901E-3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3-4EA3-A675-13596612A5D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XLF x 10 dma / IYF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-7.32302156261639E-3</c:v>
                </c:pt>
                <c:pt idx="11">
                  <c:v>-6.8100378679286401E-3</c:v>
                </c:pt>
                <c:pt idx="12">
                  <c:v>-7.8915055485433896E-3</c:v>
                </c:pt>
                <c:pt idx="13">
                  <c:v>-4.58978410038867E-3</c:v>
                </c:pt>
                <c:pt idx="14">
                  <c:v>-3.85670459887887E-3</c:v>
                </c:pt>
                <c:pt idx="15">
                  <c:v>-2.1734891986548801E-3</c:v>
                </c:pt>
                <c:pt idx="16">
                  <c:v>-3.5051894259603201E-3</c:v>
                </c:pt>
                <c:pt idx="17">
                  <c:v>-2.0517469850807701E-3</c:v>
                </c:pt>
                <c:pt idx="18">
                  <c:v>1.0930059894202801E-3</c:v>
                </c:pt>
                <c:pt idx="19">
                  <c:v>-6.8211239304345501E-4</c:v>
                </c:pt>
                <c:pt idx="20">
                  <c:v>3.6330829595138002E-3</c:v>
                </c:pt>
                <c:pt idx="21">
                  <c:v>1.0558205185382001E-3</c:v>
                </c:pt>
                <c:pt idx="22">
                  <c:v>9.7696360375718007E-4</c:v>
                </c:pt>
                <c:pt idx="23">
                  <c:v>2.01400121165123E-3</c:v>
                </c:pt>
                <c:pt idx="24">
                  <c:v>-1.0877077940201301E-3</c:v>
                </c:pt>
                <c:pt idx="25">
                  <c:v>-3.3179403401186998E-3</c:v>
                </c:pt>
                <c:pt idx="26">
                  <c:v>1.1933519430548699E-3</c:v>
                </c:pt>
                <c:pt idx="27">
                  <c:v>1.7145315725202899E-3</c:v>
                </c:pt>
                <c:pt idx="28">
                  <c:v>2.68074157096326E-5</c:v>
                </c:pt>
                <c:pt idx="29">
                  <c:v>-4.8450266805908897E-3</c:v>
                </c:pt>
                <c:pt idx="30">
                  <c:v>-2.0454639208898999E-3</c:v>
                </c:pt>
                <c:pt idx="31">
                  <c:v>-1.7611185439781101E-3</c:v>
                </c:pt>
                <c:pt idx="32">
                  <c:v>-1.57317467620453E-3</c:v>
                </c:pt>
                <c:pt idx="33">
                  <c:v>5.8204481749301196E-4</c:v>
                </c:pt>
                <c:pt idx="34">
                  <c:v>-3.56976414466622E-3</c:v>
                </c:pt>
                <c:pt idx="35">
                  <c:v>-3.84448940326889E-3</c:v>
                </c:pt>
                <c:pt idx="36">
                  <c:v>-1.0829906201984599E-3</c:v>
                </c:pt>
                <c:pt idx="37">
                  <c:v>-5.5475352098440596E-4</c:v>
                </c:pt>
                <c:pt idx="38">
                  <c:v>3.88020886300908E-3</c:v>
                </c:pt>
                <c:pt idx="39">
                  <c:v>1.84750038745563E-3</c:v>
                </c:pt>
                <c:pt idx="40">
                  <c:v>3.8128869087870601E-3</c:v>
                </c:pt>
                <c:pt idx="41">
                  <c:v>3.14306381611672E-3</c:v>
                </c:pt>
                <c:pt idx="42">
                  <c:v>3.8349779708054402E-3</c:v>
                </c:pt>
                <c:pt idx="43">
                  <c:v>5.6084585047063299E-3</c:v>
                </c:pt>
                <c:pt idx="44">
                  <c:v>4.9462586971848197E-3</c:v>
                </c:pt>
                <c:pt idx="45">
                  <c:v>3.7641055793371202E-3</c:v>
                </c:pt>
                <c:pt idx="46">
                  <c:v>2.3974635525297302E-3</c:v>
                </c:pt>
                <c:pt idx="47">
                  <c:v>1.94097054282806E-3</c:v>
                </c:pt>
                <c:pt idx="48">
                  <c:v>2.6741332292982102E-3</c:v>
                </c:pt>
                <c:pt idx="49">
                  <c:v>2.2959080561931701E-3</c:v>
                </c:pt>
                <c:pt idx="50">
                  <c:v>4.4737758420135398E-3</c:v>
                </c:pt>
                <c:pt idx="51">
                  <c:v>4.0468802019090602E-4</c:v>
                </c:pt>
                <c:pt idx="52">
                  <c:v>6.4225594745639404E-4</c:v>
                </c:pt>
                <c:pt idx="53">
                  <c:v>2.8686879074835501E-3</c:v>
                </c:pt>
                <c:pt idx="54">
                  <c:v>-2.4151815603759802E-3</c:v>
                </c:pt>
                <c:pt idx="55">
                  <c:v>-2.4854274163946199E-3</c:v>
                </c:pt>
                <c:pt idx="56">
                  <c:v>-1.88665423403583E-3</c:v>
                </c:pt>
                <c:pt idx="57">
                  <c:v>-1.7390586873417E-3</c:v>
                </c:pt>
                <c:pt idx="58">
                  <c:v>-3.60058906502283E-3</c:v>
                </c:pt>
                <c:pt idx="59">
                  <c:v>-1.0975101492305499E-3</c:v>
                </c:pt>
                <c:pt idx="60">
                  <c:v>-2.6582111132398899E-3</c:v>
                </c:pt>
                <c:pt idx="61">
                  <c:v>-3.9793830185304597E-3</c:v>
                </c:pt>
                <c:pt idx="62">
                  <c:v>-4.5233980910733404E-3</c:v>
                </c:pt>
                <c:pt idx="63">
                  <c:v>-3.0356924944784499E-3</c:v>
                </c:pt>
                <c:pt idx="64">
                  <c:v>-3.2802483584971E-3</c:v>
                </c:pt>
                <c:pt idx="65">
                  <c:v>-2.6044203504748402E-3</c:v>
                </c:pt>
                <c:pt idx="66">
                  <c:v>-3.0771529727177398E-3</c:v>
                </c:pt>
                <c:pt idx="67">
                  <c:v>-2.7728163985591002E-3</c:v>
                </c:pt>
                <c:pt idx="68">
                  <c:v>-1.2175456199316501E-3</c:v>
                </c:pt>
                <c:pt idx="69">
                  <c:v>-1.1916853563030501E-3</c:v>
                </c:pt>
                <c:pt idx="70">
                  <c:v>4.0114123602127798E-4</c:v>
                </c:pt>
                <c:pt idx="71">
                  <c:v>8.5264506411459695E-4</c:v>
                </c:pt>
                <c:pt idx="72">
                  <c:v>4.6472758086174501E-5</c:v>
                </c:pt>
                <c:pt idx="73">
                  <c:v>-3.5966621855425799E-4</c:v>
                </c:pt>
                <c:pt idx="74">
                  <c:v>-1.9026432068383E-3</c:v>
                </c:pt>
                <c:pt idx="75">
                  <c:v>-4.0073401055301802E-4</c:v>
                </c:pt>
                <c:pt idx="76">
                  <c:v>-2.4273474087962198E-3</c:v>
                </c:pt>
                <c:pt idx="77">
                  <c:v>-2.48108769628261E-3</c:v>
                </c:pt>
                <c:pt idx="78">
                  <c:v>-1.19325472641727E-3</c:v>
                </c:pt>
                <c:pt idx="79">
                  <c:v>-2.0863704084324399E-3</c:v>
                </c:pt>
                <c:pt idx="80">
                  <c:v>8.9850034269088799E-3</c:v>
                </c:pt>
                <c:pt idx="81">
                  <c:v>2.8648363927683798E-3</c:v>
                </c:pt>
                <c:pt idx="82">
                  <c:v>2.3912556913985301E-3</c:v>
                </c:pt>
                <c:pt idx="83">
                  <c:v>3.89511834462101E-3</c:v>
                </c:pt>
                <c:pt idx="84">
                  <c:v>-5.3906368057848202E-4</c:v>
                </c:pt>
                <c:pt idx="85">
                  <c:v>-2.7401296575835302E-3</c:v>
                </c:pt>
                <c:pt idx="86">
                  <c:v>1.0345431779102601E-3</c:v>
                </c:pt>
                <c:pt idx="87">
                  <c:v>-1.57791604071504E-3</c:v>
                </c:pt>
                <c:pt idx="88">
                  <c:v>9.6161132191543498E-4</c:v>
                </c:pt>
                <c:pt idx="89">
                  <c:v>1.3533359035302901E-3</c:v>
                </c:pt>
                <c:pt idx="90">
                  <c:v>-5.8108989250121499E-4</c:v>
                </c:pt>
                <c:pt idx="91">
                  <c:v>-1.19849228922359E-4</c:v>
                </c:pt>
                <c:pt idx="92">
                  <c:v>2.3615081757625399E-3</c:v>
                </c:pt>
                <c:pt idx="93">
                  <c:v>4.6230596816535796E-3</c:v>
                </c:pt>
                <c:pt idx="94">
                  <c:v>3.9973239364198198E-3</c:v>
                </c:pt>
                <c:pt idx="95">
                  <c:v>2.4708713862101701E-3</c:v>
                </c:pt>
                <c:pt idx="96">
                  <c:v>-3.38143767968343E-4</c:v>
                </c:pt>
                <c:pt idx="97">
                  <c:v>4.6058801402488298E-4</c:v>
                </c:pt>
                <c:pt idx="98">
                  <c:v>-1.8431890358154299E-3</c:v>
                </c:pt>
                <c:pt idx="99">
                  <c:v>4.4204907761970501E-4</c:v>
                </c:pt>
                <c:pt idx="100">
                  <c:v>2.1128122680430801E-4</c:v>
                </c:pt>
                <c:pt idx="101">
                  <c:v>3.9585340322400599E-4</c:v>
                </c:pt>
                <c:pt idx="102">
                  <c:v>-2.6077014555710501E-4</c:v>
                </c:pt>
                <c:pt idx="103">
                  <c:v>-3.5024508224138998E-3</c:v>
                </c:pt>
                <c:pt idx="104">
                  <c:v>-3.1033600879456298E-3</c:v>
                </c:pt>
                <c:pt idx="105">
                  <c:v>-2.7530834725906801E-3</c:v>
                </c:pt>
                <c:pt idx="106">
                  <c:v>-1.70417793546311E-3</c:v>
                </c:pt>
                <c:pt idx="107">
                  <c:v>-2.3060902717443399E-3</c:v>
                </c:pt>
                <c:pt idx="108">
                  <c:v>-1.3701095534346701E-3</c:v>
                </c:pt>
                <c:pt idx="109">
                  <c:v>-2.8547892881406298E-3</c:v>
                </c:pt>
                <c:pt idx="110">
                  <c:v>-4.86396406572697E-3</c:v>
                </c:pt>
                <c:pt idx="111">
                  <c:v>-4.2212010378647304E-3</c:v>
                </c:pt>
                <c:pt idx="112">
                  <c:v>1.0675679901080101E-3</c:v>
                </c:pt>
                <c:pt idx="113">
                  <c:v>3.8108944804222801E-3</c:v>
                </c:pt>
                <c:pt idx="114">
                  <c:v>3.2618582743324902E-3</c:v>
                </c:pt>
                <c:pt idx="115">
                  <c:v>4.0565410755698198E-3</c:v>
                </c:pt>
                <c:pt idx="116">
                  <c:v>-1.32712132924399E-3</c:v>
                </c:pt>
                <c:pt idx="117">
                  <c:v>-1.9282815200458E-3</c:v>
                </c:pt>
                <c:pt idx="118">
                  <c:v>2.2580708910363901E-3</c:v>
                </c:pt>
                <c:pt idx="119">
                  <c:v>1.49508207476705E-3</c:v>
                </c:pt>
                <c:pt idx="120">
                  <c:v>1.65442247727197E-3</c:v>
                </c:pt>
                <c:pt idx="121">
                  <c:v>4.8895942882754397E-3</c:v>
                </c:pt>
                <c:pt idx="122">
                  <c:v>3.5170615146049998E-3</c:v>
                </c:pt>
                <c:pt idx="123">
                  <c:v>3.5228515622312199E-3</c:v>
                </c:pt>
                <c:pt idx="124">
                  <c:v>5.7949965045836502E-3</c:v>
                </c:pt>
                <c:pt idx="125">
                  <c:v>1.5080880609467701E-3</c:v>
                </c:pt>
                <c:pt idx="126">
                  <c:v>-3.0371070410914899E-5</c:v>
                </c:pt>
                <c:pt idx="127">
                  <c:v>-2.0269160377124201E-3</c:v>
                </c:pt>
                <c:pt idx="128">
                  <c:v>-1.70224601756893E-3</c:v>
                </c:pt>
                <c:pt idx="129">
                  <c:v>-2.0614822777620901E-3</c:v>
                </c:pt>
                <c:pt idx="130">
                  <c:v>1.7008374161273101E-3</c:v>
                </c:pt>
                <c:pt idx="131">
                  <c:v>7.2647608382389096E-4</c:v>
                </c:pt>
                <c:pt idx="132">
                  <c:v>1.10641998355936E-3</c:v>
                </c:pt>
                <c:pt idx="133">
                  <c:v>3.9943774658858797E-3</c:v>
                </c:pt>
                <c:pt idx="134">
                  <c:v>1.9963605826874399E-3</c:v>
                </c:pt>
                <c:pt idx="135">
                  <c:v>3.5716970386833798E-3</c:v>
                </c:pt>
                <c:pt idx="136">
                  <c:v>1.9940166044704099E-3</c:v>
                </c:pt>
                <c:pt idx="137">
                  <c:v>3.2967721274029398E-4</c:v>
                </c:pt>
                <c:pt idx="138">
                  <c:v>-6.9265224715048701E-4</c:v>
                </c:pt>
                <c:pt idx="139">
                  <c:v>-1.53901815595152E-3</c:v>
                </c:pt>
                <c:pt idx="140">
                  <c:v>4.63438034278241E-5</c:v>
                </c:pt>
                <c:pt idx="141">
                  <c:v>1.25528443544008E-3</c:v>
                </c:pt>
                <c:pt idx="142">
                  <c:v>3.6089004278358002E-3</c:v>
                </c:pt>
                <c:pt idx="143">
                  <c:v>4.40168229526348E-3</c:v>
                </c:pt>
                <c:pt idx="144">
                  <c:v>3.9564850998955198E-3</c:v>
                </c:pt>
                <c:pt idx="145">
                  <c:v>1.8262054858608401E-3</c:v>
                </c:pt>
                <c:pt idx="146">
                  <c:v>1.87311634065161E-3</c:v>
                </c:pt>
                <c:pt idx="147">
                  <c:v>9.7678817779547292E-4</c:v>
                </c:pt>
                <c:pt idx="148">
                  <c:v>2.09637415775151E-3</c:v>
                </c:pt>
                <c:pt idx="149">
                  <c:v>-2.5294121347517102E-3</c:v>
                </c:pt>
                <c:pt idx="150">
                  <c:v>-2.6627716992859499E-3</c:v>
                </c:pt>
                <c:pt idx="151">
                  <c:v>-3.0033127519632002E-3</c:v>
                </c:pt>
                <c:pt idx="152">
                  <c:v>-3.4838782592603399E-3</c:v>
                </c:pt>
                <c:pt idx="153">
                  <c:v>-2.75066851019255E-3</c:v>
                </c:pt>
                <c:pt idx="154">
                  <c:v>-2.3283020462167101E-3</c:v>
                </c:pt>
                <c:pt idx="155">
                  <c:v>-2.5047733629521402E-3</c:v>
                </c:pt>
                <c:pt idx="156">
                  <c:v>1.2113113069803199E-3</c:v>
                </c:pt>
                <c:pt idx="157">
                  <c:v>2.27910617124442E-3</c:v>
                </c:pt>
                <c:pt idx="158">
                  <c:v>3.1866146277001002E-3</c:v>
                </c:pt>
                <c:pt idx="159">
                  <c:v>2.60060053100678E-3</c:v>
                </c:pt>
                <c:pt idx="160">
                  <c:v>6.3139743694399899E-3</c:v>
                </c:pt>
                <c:pt idx="161">
                  <c:v>5.1972191939834E-3</c:v>
                </c:pt>
                <c:pt idx="162">
                  <c:v>4.2323784085945403E-3</c:v>
                </c:pt>
                <c:pt idx="163">
                  <c:v>1.84823203607438E-3</c:v>
                </c:pt>
                <c:pt idx="164">
                  <c:v>1.7570518587478E-3</c:v>
                </c:pt>
                <c:pt idx="165">
                  <c:v>7.8967267126423902E-4</c:v>
                </c:pt>
                <c:pt idx="166">
                  <c:v>-8.3750763043598296E-4</c:v>
                </c:pt>
                <c:pt idx="167">
                  <c:v>5.7367762085510103E-4</c:v>
                </c:pt>
                <c:pt idx="168">
                  <c:v>-3.6036255175344901E-3</c:v>
                </c:pt>
                <c:pt idx="169">
                  <c:v>-4.6233732725060699E-3</c:v>
                </c:pt>
                <c:pt idx="170">
                  <c:v>-3.9744663148028204E-3</c:v>
                </c:pt>
                <c:pt idx="171">
                  <c:v>-2.4384052964465598E-3</c:v>
                </c:pt>
                <c:pt idx="172">
                  <c:v>-1.7775570678887399E-3</c:v>
                </c:pt>
                <c:pt idx="173">
                  <c:v>5.5208381389131099E-4</c:v>
                </c:pt>
                <c:pt idx="174">
                  <c:v>1.11485601932557E-3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3-4EA3-A675-13596612A5DE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XLF x 20 dma / IYF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-7.00692515500642E-4</c:v>
                </c:pt>
                <c:pt idx="21">
                  <c:v>-2.6452231092832798E-3</c:v>
                </c:pt>
                <c:pt idx="22">
                  <c:v>-2.2667264903907299E-3</c:v>
                </c:pt>
                <c:pt idx="23">
                  <c:v>-4.2274806736380098E-4</c:v>
                </c:pt>
                <c:pt idx="24">
                  <c:v>-2.7343626181712101E-3</c:v>
                </c:pt>
                <c:pt idx="25">
                  <c:v>-4.3537341457173797E-3</c:v>
                </c:pt>
                <c:pt idx="26">
                  <c:v>5.4872844981196205E-4</c:v>
                </c:pt>
                <c:pt idx="27">
                  <c:v>1.7063705968416399E-3</c:v>
                </c:pt>
                <c:pt idx="28">
                  <c:v>4.1313486960939898E-4</c:v>
                </c:pt>
                <c:pt idx="29">
                  <c:v>-4.4110893524793304E-3</c:v>
                </c:pt>
                <c:pt idx="30">
                  <c:v>-1.71431930736155E-3</c:v>
                </c:pt>
                <c:pt idx="31">
                  <c:v>-1.7938821604146201E-3</c:v>
                </c:pt>
                <c:pt idx="32">
                  <c:v>-1.7725506424169301E-3</c:v>
                </c:pt>
                <c:pt idx="33">
                  <c:v>1.16752468287791E-4</c:v>
                </c:pt>
                <c:pt idx="34">
                  <c:v>-4.2389814825558097E-3</c:v>
                </c:pt>
                <c:pt idx="35">
                  <c:v>-4.6785379670161798E-3</c:v>
                </c:pt>
                <c:pt idx="36">
                  <c:v>-1.86603248138018E-3</c:v>
                </c:pt>
                <c:pt idx="37">
                  <c:v>-1.6999601370155299E-3</c:v>
                </c:pt>
                <c:pt idx="38">
                  <c:v>2.32039522565644E-3</c:v>
                </c:pt>
                <c:pt idx="39">
                  <c:v>3.3873003778874298E-4</c:v>
                </c:pt>
                <c:pt idx="40">
                  <c:v>2.6525795026262101E-3</c:v>
                </c:pt>
                <c:pt idx="41">
                  <c:v>2.4094809765185499E-3</c:v>
                </c:pt>
                <c:pt idx="42">
                  <c:v>3.4169708041694598E-3</c:v>
                </c:pt>
                <c:pt idx="43">
                  <c:v>5.5661008624167804E-3</c:v>
                </c:pt>
                <c:pt idx="44">
                  <c:v>5.2682395692430599E-3</c:v>
                </c:pt>
                <c:pt idx="45">
                  <c:v>4.7358717107952404E-3</c:v>
                </c:pt>
                <c:pt idx="46">
                  <c:v>3.9583041148906596E-3</c:v>
                </c:pt>
                <c:pt idx="47">
                  <c:v>4.0251091851626897E-3</c:v>
                </c:pt>
                <c:pt idx="48">
                  <c:v>5.3207613595865301E-3</c:v>
                </c:pt>
                <c:pt idx="49">
                  <c:v>5.1104751176315197E-3</c:v>
                </c:pt>
                <c:pt idx="50">
                  <c:v>7.4088198337534002E-3</c:v>
                </c:pt>
                <c:pt idx="51">
                  <c:v>3.4895222675800299E-3</c:v>
                </c:pt>
                <c:pt idx="52">
                  <c:v>3.7268239373915899E-3</c:v>
                </c:pt>
                <c:pt idx="53">
                  <c:v>5.8732100178057996E-3</c:v>
                </c:pt>
                <c:pt idx="54">
                  <c:v>5.0556019385698901E-4</c:v>
                </c:pt>
                <c:pt idx="55">
                  <c:v>-1.00683067322668E-4</c:v>
                </c:pt>
                <c:pt idx="56">
                  <c:v>-5.57564830442967E-5</c:v>
                </c:pt>
                <c:pt idx="57">
                  <c:v>-2.7048168549629101E-4</c:v>
                </c:pt>
                <c:pt idx="58">
                  <c:v>-2.5033464986931099E-3</c:v>
                </c:pt>
                <c:pt idx="59">
                  <c:v>-4.0890304303909601E-4</c:v>
                </c:pt>
                <c:pt idx="60">
                  <c:v>-2.3744325962957299E-3</c:v>
                </c:pt>
                <c:pt idx="61">
                  <c:v>-4.3493209941523501E-3</c:v>
                </c:pt>
                <c:pt idx="62">
                  <c:v>-5.32093164558091E-3</c:v>
                </c:pt>
                <c:pt idx="63">
                  <c:v>-4.3195530696371999E-3</c:v>
                </c:pt>
                <c:pt idx="64">
                  <c:v>-5.1490244583943202E-3</c:v>
                </c:pt>
                <c:pt idx="65">
                  <c:v>-4.6268312398604298E-3</c:v>
                </c:pt>
                <c:pt idx="66">
                  <c:v>-5.2333344143296601E-3</c:v>
                </c:pt>
                <c:pt idx="67">
                  <c:v>-5.1724991511863097E-3</c:v>
                </c:pt>
                <c:pt idx="68">
                  <c:v>-3.8711007158689702E-3</c:v>
                </c:pt>
                <c:pt idx="69">
                  <c:v>-3.7875421374499799E-3</c:v>
                </c:pt>
                <c:pt idx="70">
                  <c:v>-2.3576229802585399E-3</c:v>
                </c:pt>
                <c:pt idx="71">
                  <c:v>-1.7018242427624701E-3</c:v>
                </c:pt>
                <c:pt idx="72">
                  <c:v>-2.2662433193321799E-3</c:v>
                </c:pt>
                <c:pt idx="73">
                  <c:v>-2.3378077305157099E-3</c:v>
                </c:pt>
                <c:pt idx="74">
                  <c:v>-3.52261620094292E-3</c:v>
                </c:pt>
                <c:pt idx="75">
                  <c:v>-1.88377210728921E-3</c:v>
                </c:pt>
                <c:pt idx="76">
                  <c:v>-3.74039169732358E-3</c:v>
                </c:pt>
                <c:pt idx="77">
                  <c:v>-3.6179915782823899E-3</c:v>
                </c:pt>
                <c:pt idx="78">
                  <c:v>-2.1378484756376099E-3</c:v>
                </c:pt>
                <c:pt idx="79">
                  <c:v>-2.97781951088008E-3</c:v>
                </c:pt>
                <c:pt idx="80">
                  <c:v>8.2236236671913206E-3</c:v>
                </c:pt>
                <c:pt idx="81">
                  <c:v>2.5775115988027602E-3</c:v>
                </c:pt>
                <c:pt idx="82">
                  <c:v>2.1897922740465999E-3</c:v>
                </c:pt>
                <c:pt idx="83">
                  <c:v>3.7936480392387101E-3</c:v>
                </c:pt>
                <c:pt idx="84">
                  <c:v>-3.7408450606385202E-4</c:v>
                </c:pt>
                <c:pt idx="85">
                  <c:v>-2.3969747897379201E-3</c:v>
                </c:pt>
                <c:pt idx="86">
                  <c:v>1.33310095726319E-3</c:v>
                </c:pt>
                <c:pt idx="87">
                  <c:v>-9.7700005757070298E-4</c:v>
                </c:pt>
                <c:pt idx="88">
                  <c:v>1.76749838895992E-3</c:v>
                </c:pt>
                <c:pt idx="89">
                  <c:v>2.44130356444141E-3</c:v>
                </c:pt>
                <c:pt idx="90">
                  <c:v>9.2262740837557205E-4</c:v>
                </c:pt>
                <c:pt idx="91">
                  <c:v>7.0479405884182303E-4</c:v>
                </c:pt>
                <c:pt idx="92">
                  <c:v>3.04756000853325E-3</c:v>
                </c:pt>
                <c:pt idx="93">
                  <c:v>5.2791144690675102E-3</c:v>
                </c:pt>
                <c:pt idx="94">
                  <c:v>4.5526879804753898E-3</c:v>
                </c:pt>
                <c:pt idx="95">
                  <c:v>3.22365332396883E-3</c:v>
                </c:pt>
                <c:pt idx="96">
                  <c:v>8.3406453848533697E-4</c:v>
                </c:pt>
                <c:pt idx="97">
                  <c:v>1.4779980206692401E-3</c:v>
                </c:pt>
                <c:pt idx="98">
                  <c:v>-7.2721720131394398E-4</c:v>
                </c:pt>
                <c:pt idx="99">
                  <c:v>1.3405445007066601E-3</c:v>
                </c:pt>
                <c:pt idx="100">
                  <c:v>8.7262792532926097E-4</c:v>
                </c:pt>
                <c:pt idx="101">
                  <c:v>1.49046717231843E-3</c:v>
                </c:pt>
                <c:pt idx="102">
                  <c:v>1.0361823269085301E-3</c:v>
                </c:pt>
                <c:pt idx="103">
                  <c:v>-2.2740732552754199E-3</c:v>
                </c:pt>
                <c:pt idx="104">
                  <c:v>-2.26062813507689E-3</c:v>
                </c:pt>
                <c:pt idx="105">
                  <c:v>-2.4635840295434402E-3</c:v>
                </c:pt>
                <c:pt idx="106">
                  <c:v>-1.9831913044021298E-3</c:v>
                </c:pt>
                <c:pt idx="107">
                  <c:v>-2.7298820281378899E-3</c:v>
                </c:pt>
                <c:pt idx="108">
                  <c:v>-2.1784211665827401E-3</c:v>
                </c:pt>
                <c:pt idx="109">
                  <c:v>-3.69158081330158E-3</c:v>
                </c:pt>
                <c:pt idx="110">
                  <c:v>-5.9933007743885403E-3</c:v>
                </c:pt>
                <c:pt idx="111">
                  <c:v>-5.8227885229532898E-3</c:v>
                </c:pt>
                <c:pt idx="112">
                  <c:v>-1.0594805418148499E-3</c:v>
                </c:pt>
                <c:pt idx="113">
                  <c:v>1.5395446440410201E-3</c:v>
                </c:pt>
                <c:pt idx="114">
                  <c:v>1.4112184346672799E-3</c:v>
                </c:pt>
                <c:pt idx="115">
                  <c:v>2.6088519338464799E-3</c:v>
                </c:pt>
                <c:pt idx="116">
                  <c:v>-2.3478050439776398E-3</c:v>
                </c:pt>
                <c:pt idx="117">
                  <c:v>-2.9360112206671799E-3</c:v>
                </c:pt>
                <c:pt idx="118">
                  <c:v>1.3490086060239501E-3</c:v>
                </c:pt>
                <c:pt idx="119">
                  <c:v>7.3349598194785996E-4</c:v>
                </c:pt>
                <c:pt idx="120">
                  <c:v>1.2825160534022299E-3</c:v>
                </c:pt>
                <c:pt idx="121">
                  <c:v>5.1738858746341997E-3</c:v>
                </c:pt>
                <c:pt idx="122">
                  <c:v>4.6772710358526804E-3</c:v>
                </c:pt>
                <c:pt idx="123">
                  <c:v>5.0679187609255797E-3</c:v>
                </c:pt>
                <c:pt idx="124">
                  <c:v>7.3418170186500299E-3</c:v>
                </c:pt>
                <c:pt idx="125">
                  <c:v>3.2028223458326999E-3</c:v>
                </c:pt>
                <c:pt idx="126">
                  <c:v>1.5107436554519999E-3</c:v>
                </c:pt>
                <c:pt idx="127">
                  <c:v>-1.8262272991455801E-4</c:v>
                </c:pt>
                <c:pt idx="128">
                  <c:v>4.0462879267939101E-4</c:v>
                </c:pt>
                <c:pt idx="129">
                  <c:v>-3.2642516077004099E-5</c:v>
                </c:pt>
                <c:pt idx="130">
                  <c:v>3.61304211894691E-3</c:v>
                </c:pt>
                <c:pt idx="131">
                  <c:v>2.5427818688617898E-3</c:v>
                </c:pt>
                <c:pt idx="132">
                  <c:v>2.4110895227868298E-3</c:v>
                </c:pt>
                <c:pt idx="133">
                  <c:v>5.0703999448257304E-3</c:v>
                </c:pt>
                <c:pt idx="134">
                  <c:v>3.0634519291257499E-3</c:v>
                </c:pt>
                <c:pt idx="135">
                  <c:v>4.2749684443708098E-3</c:v>
                </c:pt>
                <c:pt idx="136">
                  <c:v>2.82871999203538E-3</c:v>
                </c:pt>
                <c:pt idx="137">
                  <c:v>1.12964937712542E-3</c:v>
                </c:pt>
                <c:pt idx="138">
                  <c:v>1.2544841913324299E-4</c:v>
                </c:pt>
                <c:pt idx="139">
                  <c:v>-6.0074445416571595E-4</c:v>
                </c:pt>
                <c:pt idx="140">
                  <c:v>1.0800528594797499E-3</c:v>
                </c:pt>
                <c:pt idx="141">
                  <c:v>2.1159851291665701E-3</c:v>
                </c:pt>
                <c:pt idx="142">
                  <c:v>4.6088647412631202E-3</c:v>
                </c:pt>
                <c:pt idx="143">
                  <c:v>5.6168602716143903E-3</c:v>
                </c:pt>
                <c:pt idx="144">
                  <c:v>5.1822963899832196E-3</c:v>
                </c:pt>
                <c:pt idx="145">
                  <c:v>3.3556466751442299E-3</c:v>
                </c:pt>
                <c:pt idx="146">
                  <c:v>3.2946844863477199E-3</c:v>
                </c:pt>
                <c:pt idx="147">
                  <c:v>2.3495861084622798E-3</c:v>
                </c:pt>
                <c:pt idx="148">
                  <c:v>3.4406648472557798E-3</c:v>
                </c:pt>
                <c:pt idx="149">
                  <c:v>-1.0434207778302299E-3</c:v>
                </c:pt>
                <c:pt idx="150">
                  <c:v>-1.1977330716556401E-3</c:v>
                </c:pt>
                <c:pt idx="151">
                  <c:v>-1.5479133118380499E-3</c:v>
                </c:pt>
                <c:pt idx="152">
                  <c:v>-2.2088444585190502E-3</c:v>
                </c:pt>
                <c:pt idx="153">
                  <c:v>-1.92836514842207E-3</c:v>
                </c:pt>
                <c:pt idx="154">
                  <c:v>-1.92300579570204E-3</c:v>
                </c:pt>
                <c:pt idx="155">
                  <c:v>-2.5932619583483598E-3</c:v>
                </c:pt>
                <c:pt idx="156">
                  <c:v>8.3200629848705998E-4</c:v>
                </c:pt>
                <c:pt idx="157">
                  <c:v>1.69305478346361E-3</c:v>
                </c:pt>
                <c:pt idx="158">
                  <c:v>2.4374595008062301E-3</c:v>
                </c:pt>
                <c:pt idx="159">
                  <c:v>1.55730610232958E-3</c:v>
                </c:pt>
                <c:pt idx="160">
                  <c:v>5.3232741528162399E-3</c:v>
                </c:pt>
                <c:pt idx="161">
                  <c:v>4.54412657607691E-3</c:v>
                </c:pt>
                <c:pt idx="162">
                  <c:v>3.9909623224655003E-3</c:v>
                </c:pt>
                <c:pt idx="163">
                  <c:v>2.1958650838430202E-3</c:v>
                </c:pt>
                <c:pt idx="164">
                  <c:v>2.6453475490749601E-3</c:v>
                </c:pt>
                <c:pt idx="165">
                  <c:v>2.2456526290753E-3</c:v>
                </c:pt>
                <c:pt idx="166">
                  <c:v>1.15583064951251E-3</c:v>
                </c:pt>
                <c:pt idx="167">
                  <c:v>2.7351292720061001E-3</c:v>
                </c:pt>
                <c:pt idx="168">
                  <c:v>-1.3176235405331E-3</c:v>
                </c:pt>
                <c:pt idx="169">
                  <c:v>-2.4286506003635298E-3</c:v>
                </c:pt>
                <c:pt idx="170">
                  <c:v>-2.07472348750945E-3</c:v>
                </c:pt>
                <c:pt idx="171">
                  <c:v>-1.2133303338484199E-3</c:v>
                </c:pt>
                <c:pt idx="172">
                  <c:v>-1.1564927352536E-3</c:v>
                </c:pt>
                <c:pt idx="173">
                  <c:v>5.7316990536645997E-4</c:v>
                </c:pt>
                <c:pt idx="174">
                  <c:v>8.0838351005939595E-4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83-4EA3-A675-13596612A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4.1890823876042302E-3</c:v>
                </c:pt>
                <c:pt idx="7">
                  <c:v>4.1890823876042302E-3</c:v>
                </c:pt>
                <c:pt idx="8">
                  <c:v>4.1890823876042302E-3</c:v>
                </c:pt>
                <c:pt idx="9">
                  <c:v>4.1890823876042302E-3</c:v>
                </c:pt>
                <c:pt idx="10">
                  <c:v>6.6581215349783094E-3</c:v>
                </c:pt>
                <c:pt idx="11">
                  <c:v>6.4411873838767586E-3</c:v>
                </c:pt>
                <c:pt idx="12">
                  <c:v>6.340833756142839E-3</c:v>
                </c:pt>
                <c:pt idx="13">
                  <c:v>8.2011745166428278E-3</c:v>
                </c:pt>
                <c:pt idx="14">
                  <c:v>8.2011745166428278E-3</c:v>
                </c:pt>
                <c:pt idx="15">
                  <c:v>7.5437937966907178E-3</c:v>
                </c:pt>
                <c:pt idx="16">
                  <c:v>1.0085178671960016E-2</c:v>
                </c:pt>
                <c:pt idx="17">
                  <c:v>1.0229507360179116E-2</c:v>
                </c:pt>
                <c:pt idx="18">
                  <c:v>1.4209258279931214E-2</c:v>
                </c:pt>
                <c:pt idx="19">
                  <c:v>1.4209258279931214E-2</c:v>
                </c:pt>
                <c:pt idx="20">
                  <c:v>1.4209258279931214E-2</c:v>
                </c:pt>
                <c:pt idx="21">
                  <c:v>1.4209258279931214E-2</c:v>
                </c:pt>
                <c:pt idx="22">
                  <c:v>1.4209258279931214E-2</c:v>
                </c:pt>
                <c:pt idx="23">
                  <c:v>1.4209258279931214E-2</c:v>
                </c:pt>
                <c:pt idx="24">
                  <c:v>1.4209258279931214E-2</c:v>
                </c:pt>
                <c:pt idx="25">
                  <c:v>1.4209258279931214E-2</c:v>
                </c:pt>
                <c:pt idx="26">
                  <c:v>1.4209258279931214E-2</c:v>
                </c:pt>
                <c:pt idx="27">
                  <c:v>1.4209258279931214E-2</c:v>
                </c:pt>
                <c:pt idx="28">
                  <c:v>1.4209258279931214E-2</c:v>
                </c:pt>
                <c:pt idx="29">
                  <c:v>1.4209258279931214E-2</c:v>
                </c:pt>
                <c:pt idx="30">
                  <c:v>1.4209258279931214E-2</c:v>
                </c:pt>
                <c:pt idx="31">
                  <c:v>1.4209258279931214E-2</c:v>
                </c:pt>
                <c:pt idx="32">
                  <c:v>1.4209258279931214E-2</c:v>
                </c:pt>
                <c:pt idx="33">
                  <c:v>1.4209258279931214E-2</c:v>
                </c:pt>
                <c:pt idx="34">
                  <c:v>1.4209258279931214E-2</c:v>
                </c:pt>
                <c:pt idx="35">
                  <c:v>1.4209258279931214E-2</c:v>
                </c:pt>
                <c:pt idx="36">
                  <c:v>1.4209258279931214E-2</c:v>
                </c:pt>
                <c:pt idx="37">
                  <c:v>1.4209258279931214E-2</c:v>
                </c:pt>
                <c:pt idx="38">
                  <c:v>1.4209258279931214E-2</c:v>
                </c:pt>
                <c:pt idx="39">
                  <c:v>1.4209258279931214E-2</c:v>
                </c:pt>
                <c:pt idx="40">
                  <c:v>1.4209258279931214E-2</c:v>
                </c:pt>
                <c:pt idx="41">
                  <c:v>1.4209258279931214E-2</c:v>
                </c:pt>
                <c:pt idx="42">
                  <c:v>1.4209258279931214E-2</c:v>
                </c:pt>
                <c:pt idx="43">
                  <c:v>1.5020282740984684E-2</c:v>
                </c:pt>
                <c:pt idx="44">
                  <c:v>1.3929724350948355E-2</c:v>
                </c:pt>
                <c:pt idx="45">
                  <c:v>1.4144596096926556E-2</c:v>
                </c:pt>
                <c:pt idx="46">
                  <c:v>1.3254941800648725E-2</c:v>
                </c:pt>
                <c:pt idx="47">
                  <c:v>1.3008499168472725E-2</c:v>
                </c:pt>
                <c:pt idx="48">
                  <c:v>1.3980135520918528E-2</c:v>
                </c:pt>
                <c:pt idx="49">
                  <c:v>1.3712998611664699E-2</c:v>
                </c:pt>
                <c:pt idx="50">
                  <c:v>1.4777469041553158E-2</c:v>
                </c:pt>
                <c:pt idx="51">
                  <c:v>1.4982824907055438E-2</c:v>
                </c:pt>
                <c:pt idx="52">
                  <c:v>1.4982824907055438E-2</c:v>
                </c:pt>
                <c:pt idx="53">
                  <c:v>1.4982824907055438E-2</c:v>
                </c:pt>
                <c:pt idx="54">
                  <c:v>1.4982824907055438E-2</c:v>
                </c:pt>
                <c:pt idx="55">
                  <c:v>1.4982824907055438E-2</c:v>
                </c:pt>
                <c:pt idx="56">
                  <c:v>1.4982824907055438E-2</c:v>
                </c:pt>
                <c:pt idx="57">
                  <c:v>1.4982824907055438E-2</c:v>
                </c:pt>
                <c:pt idx="58">
                  <c:v>1.4982824907055438E-2</c:v>
                </c:pt>
                <c:pt idx="59">
                  <c:v>1.4982824907055438E-2</c:v>
                </c:pt>
                <c:pt idx="60">
                  <c:v>1.4982824907055438E-2</c:v>
                </c:pt>
                <c:pt idx="61">
                  <c:v>1.4982824907055438E-2</c:v>
                </c:pt>
                <c:pt idx="62">
                  <c:v>1.4982824907055438E-2</c:v>
                </c:pt>
                <c:pt idx="63">
                  <c:v>1.4982824907055438E-2</c:v>
                </c:pt>
                <c:pt idx="64">
                  <c:v>1.4982824907055438E-2</c:v>
                </c:pt>
                <c:pt idx="65">
                  <c:v>1.4982824907055438E-2</c:v>
                </c:pt>
                <c:pt idx="66">
                  <c:v>1.4982824907055438E-2</c:v>
                </c:pt>
                <c:pt idx="67">
                  <c:v>1.4982824907055438E-2</c:v>
                </c:pt>
                <c:pt idx="68">
                  <c:v>1.4982824907055438E-2</c:v>
                </c:pt>
                <c:pt idx="69">
                  <c:v>1.4982824907055438E-2</c:v>
                </c:pt>
                <c:pt idx="70">
                  <c:v>1.4982824907055438E-2</c:v>
                </c:pt>
                <c:pt idx="71">
                  <c:v>1.4982824907055438E-2</c:v>
                </c:pt>
                <c:pt idx="72">
                  <c:v>1.4982824907055438E-2</c:v>
                </c:pt>
                <c:pt idx="73">
                  <c:v>1.4982824907055438E-2</c:v>
                </c:pt>
                <c:pt idx="74">
                  <c:v>1.4982824907055438E-2</c:v>
                </c:pt>
                <c:pt idx="75">
                  <c:v>1.4982824907055438E-2</c:v>
                </c:pt>
                <c:pt idx="76">
                  <c:v>1.4982824907055438E-2</c:v>
                </c:pt>
                <c:pt idx="77">
                  <c:v>1.4982824907055438E-2</c:v>
                </c:pt>
                <c:pt idx="78">
                  <c:v>1.4982824907055438E-2</c:v>
                </c:pt>
                <c:pt idx="79">
                  <c:v>1.4982824907055438E-2</c:v>
                </c:pt>
                <c:pt idx="80">
                  <c:v>1.4982824907055438E-2</c:v>
                </c:pt>
                <c:pt idx="81">
                  <c:v>1.4982824907055438E-2</c:v>
                </c:pt>
                <c:pt idx="82">
                  <c:v>1.4982824907055438E-2</c:v>
                </c:pt>
                <c:pt idx="83">
                  <c:v>1.4982824907055438E-2</c:v>
                </c:pt>
                <c:pt idx="84">
                  <c:v>1.4982824907055438E-2</c:v>
                </c:pt>
                <c:pt idx="85">
                  <c:v>1.4982824907055438E-2</c:v>
                </c:pt>
                <c:pt idx="86">
                  <c:v>1.4982824907055438E-2</c:v>
                </c:pt>
                <c:pt idx="87">
                  <c:v>1.4982824907055438E-2</c:v>
                </c:pt>
                <c:pt idx="88">
                  <c:v>1.4982824907055438E-2</c:v>
                </c:pt>
                <c:pt idx="89">
                  <c:v>1.4982824907055438E-2</c:v>
                </c:pt>
                <c:pt idx="90">
                  <c:v>1.4982824907055438E-2</c:v>
                </c:pt>
                <c:pt idx="91">
                  <c:v>1.4891458189126539E-2</c:v>
                </c:pt>
                <c:pt idx="92">
                  <c:v>1.4891458189126539E-2</c:v>
                </c:pt>
                <c:pt idx="93">
                  <c:v>1.7342539212271038E-2</c:v>
                </c:pt>
                <c:pt idx="94">
                  <c:v>1.7069417954301069E-2</c:v>
                </c:pt>
                <c:pt idx="95">
                  <c:v>1.812967343275599E-2</c:v>
                </c:pt>
                <c:pt idx="96">
                  <c:v>1.812967343275599E-2</c:v>
                </c:pt>
                <c:pt idx="97">
                  <c:v>1.812967343275599E-2</c:v>
                </c:pt>
                <c:pt idx="98">
                  <c:v>1.812967343275599E-2</c:v>
                </c:pt>
                <c:pt idx="99">
                  <c:v>1.812967343275599E-2</c:v>
                </c:pt>
                <c:pt idx="100">
                  <c:v>1.812967343275599E-2</c:v>
                </c:pt>
                <c:pt idx="101">
                  <c:v>1.812967343275599E-2</c:v>
                </c:pt>
                <c:pt idx="102">
                  <c:v>1.812967343275599E-2</c:v>
                </c:pt>
                <c:pt idx="103">
                  <c:v>1.812967343275599E-2</c:v>
                </c:pt>
                <c:pt idx="104">
                  <c:v>1.812967343275599E-2</c:v>
                </c:pt>
                <c:pt idx="105">
                  <c:v>1.812967343275599E-2</c:v>
                </c:pt>
                <c:pt idx="106">
                  <c:v>1.812967343275599E-2</c:v>
                </c:pt>
                <c:pt idx="107">
                  <c:v>1.812967343275599E-2</c:v>
                </c:pt>
                <c:pt idx="108">
                  <c:v>1.812967343275599E-2</c:v>
                </c:pt>
                <c:pt idx="109">
                  <c:v>1.812967343275599E-2</c:v>
                </c:pt>
                <c:pt idx="110">
                  <c:v>1.812967343275599E-2</c:v>
                </c:pt>
                <c:pt idx="111">
                  <c:v>1.812967343275599E-2</c:v>
                </c:pt>
                <c:pt idx="112">
                  <c:v>1.812967343275599E-2</c:v>
                </c:pt>
                <c:pt idx="113">
                  <c:v>1.812967343275599E-2</c:v>
                </c:pt>
                <c:pt idx="114">
                  <c:v>1.812967343275599E-2</c:v>
                </c:pt>
                <c:pt idx="115">
                  <c:v>1.812967343275599E-2</c:v>
                </c:pt>
                <c:pt idx="116">
                  <c:v>1.812967343275599E-2</c:v>
                </c:pt>
                <c:pt idx="117">
                  <c:v>1.812967343275599E-2</c:v>
                </c:pt>
                <c:pt idx="118">
                  <c:v>1.812967343275599E-2</c:v>
                </c:pt>
                <c:pt idx="119">
                  <c:v>1.812967343275599E-2</c:v>
                </c:pt>
                <c:pt idx="120">
                  <c:v>1.812967343275599E-2</c:v>
                </c:pt>
                <c:pt idx="121">
                  <c:v>1.812967343275599E-2</c:v>
                </c:pt>
                <c:pt idx="122">
                  <c:v>1.812967343275599E-2</c:v>
                </c:pt>
                <c:pt idx="123">
                  <c:v>1.812967343275599E-2</c:v>
                </c:pt>
                <c:pt idx="124">
                  <c:v>1.812967343275599E-2</c:v>
                </c:pt>
                <c:pt idx="125">
                  <c:v>1.812967343275599E-2</c:v>
                </c:pt>
                <c:pt idx="126">
                  <c:v>1.812967343275599E-2</c:v>
                </c:pt>
                <c:pt idx="127">
                  <c:v>1.812967343275599E-2</c:v>
                </c:pt>
                <c:pt idx="128">
                  <c:v>1.812967343275599E-2</c:v>
                </c:pt>
                <c:pt idx="129">
                  <c:v>1.812967343275599E-2</c:v>
                </c:pt>
                <c:pt idx="130">
                  <c:v>1.812967343275599E-2</c:v>
                </c:pt>
                <c:pt idx="131">
                  <c:v>1.812967343275599E-2</c:v>
                </c:pt>
                <c:pt idx="132">
                  <c:v>1.812967343275599E-2</c:v>
                </c:pt>
                <c:pt idx="133">
                  <c:v>1.812967343275599E-2</c:v>
                </c:pt>
                <c:pt idx="134">
                  <c:v>1.812967343275599E-2</c:v>
                </c:pt>
                <c:pt idx="135">
                  <c:v>1.812967343275599E-2</c:v>
                </c:pt>
                <c:pt idx="136">
                  <c:v>1.812967343275599E-2</c:v>
                </c:pt>
                <c:pt idx="137">
                  <c:v>1.812967343275599E-2</c:v>
                </c:pt>
                <c:pt idx="138">
                  <c:v>1.812967343275599E-2</c:v>
                </c:pt>
                <c:pt idx="139">
                  <c:v>1.812967343275599E-2</c:v>
                </c:pt>
                <c:pt idx="140">
                  <c:v>1.812967343275599E-2</c:v>
                </c:pt>
                <c:pt idx="141">
                  <c:v>1.812967343275599E-2</c:v>
                </c:pt>
                <c:pt idx="142">
                  <c:v>1.812967343275599E-2</c:v>
                </c:pt>
                <c:pt idx="143">
                  <c:v>1.812967343275599E-2</c:v>
                </c:pt>
                <c:pt idx="144">
                  <c:v>1.812967343275599E-2</c:v>
                </c:pt>
                <c:pt idx="145">
                  <c:v>1.812967343275599E-2</c:v>
                </c:pt>
                <c:pt idx="146">
                  <c:v>1.812967343275599E-2</c:v>
                </c:pt>
                <c:pt idx="147">
                  <c:v>1.812967343275599E-2</c:v>
                </c:pt>
                <c:pt idx="148">
                  <c:v>1.812967343275599E-2</c:v>
                </c:pt>
                <c:pt idx="149">
                  <c:v>1.812967343275599E-2</c:v>
                </c:pt>
                <c:pt idx="150">
                  <c:v>1.812967343275599E-2</c:v>
                </c:pt>
                <c:pt idx="151">
                  <c:v>1.812967343275599E-2</c:v>
                </c:pt>
                <c:pt idx="152">
                  <c:v>1.812967343275599E-2</c:v>
                </c:pt>
                <c:pt idx="153">
                  <c:v>1.812967343275599E-2</c:v>
                </c:pt>
                <c:pt idx="154">
                  <c:v>1.812967343275599E-2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7-4B3B-BCB2-CAD6A3B17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1.6945634917186949E-4</c:v>
                </c:pt>
                <c:pt idx="25">
                  <c:v>4.3553418396834014E-4</c:v>
                </c:pt>
                <c:pt idx="26">
                  <c:v>8.4563027118259027E-4</c:v>
                </c:pt>
                <c:pt idx="27">
                  <c:v>6.4133770634408963E-4</c:v>
                </c:pt>
                <c:pt idx="28">
                  <c:v>-7.5894093855454229E-4</c:v>
                </c:pt>
                <c:pt idx="29">
                  <c:v>-7.8856003565743208E-4</c:v>
                </c:pt>
                <c:pt idx="30">
                  <c:v>-7.8856003565743208E-4</c:v>
                </c:pt>
                <c:pt idx="31">
                  <c:v>-7.8856003565743208E-4</c:v>
                </c:pt>
                <c:pt idx="32">
                  <c:v>-7.8856003565743208E-4</c:v>
                </c:pt>
                <c:pt idx="33">
                  <c:v>-7.8856003565743208E-4</c:v>
                </c:pt>
                <c:pt idx="34">
                  <c:v>-7.8856003565743208E-4</c:v>
                </c:pt>
                <c:pt idx="35">
                  <c:v>-7.8856003565743208E-4</c:v>
                </c:pt>
                <c:pt idx="36">
                  <c:v>-7.8856003565743208E-4</c:v>
                </c:pt>
                <c:pt idx="37">
                  <c:v>-7.8856003565743208E-4</c:v>
                </c:pt>
                <c:pt idx="38">
                  <c:v>-7.8856003565743208E-4</c:v>
                </c:pt>
                <c:pt idx="39">
                  <c:v>-7.8856003565743208E-4</c:v>
                </c:pt>
                <c:pt idx="40">
                  <c:v>-7.8856003565743208E-4</c:v>
                </c:pt>
                <c:pt idx="41">
                  <c:v>-7.8856003565743208E-4</c:v>
                </c:pt>
                <c:pt idx="42">
                  <c:v>-7.8856003565743208E-4</c:v>
                </c:pt>
                <c:pt idx="43">
                  <c:v>-7.8856003565743208E-4</c:v>
                </c:pt>
                <c:pt idx="44">
                  <c:v>-7.8856003565743208E-4</c:v>
                </c:pt>
                <c:pt idx="45">
                  <c:v>-7.8856003565743208E-4</c:v>
                </c:pt>
                <c:pt idx="46">
                  <c:v>-7.8856003565743208E-4</c:v>
                </c:pt>
                <c:pt idx="47">
                  <c:v>-7.8856003565743208E-4</c:v>
                </c:pt>
                <c:pt idx="48">
                  <c:v>-7.8856003565743208E-4</c:v>
                </c:pt>
                <c:pt idx="49">
                  <c:v>-7.8856003565743208E-4</c:v>
                </c:pt>
                <c:pt idx="50">
                  <c:v>-7.8856003565743208E-4</c:v>
                </c:pt>
                <c:pt idx="51">
                  <c:v>-7.8856003565743208E-4</c:v>
                </c:pt>
                <c:pt idx="52">
                  <c:v>-7.8856003565743208E-4</c:v>
                </c:pt>
                <c:pt idx="53">
                  <c:v>-7.8856003565743208E-4</c:v>
                </c:pt>
                <c:pt idx="54">
                  <c:v>-7.8856003565743208E-4</c:v>
                </c:pt>
                <c:pt idx="55">
                  <c:v>-7.8856003565743208E-4</c:v>
                </c:pt>
                <c:pt idx="56">
                  <c:v>-7.8856003565743208E-4</c:v>
                </c:pt>
                <c:pt idx="57">
                  <c:v>-7.8856003565743208E-4</c:v>
                </c:pt>
                <c:pt idx="58">
                  <c:v>-7.8856003565743208E-4</c:v>
                </c:pt>
                <c:pt idx="59">
                  <c:v>-7.8856003565743208E-4</c:v>
                </c:pt>
                <c:pt idx="60">
                  <c:v>-7.8856003565743208E-4</c:v>
                </c:pt>
                <c:pt idx="61">
                  <c:v>4.6291474679611977E-3</c:v>
                </c:pt>
                <c:pt idx="62">
                  <c:v>4.9592801159516683E-3</c:v>
                </c:pt>
                <c:pt idx="63">
                  <c:v>3.2614926893668279E-3</c:v>
                </c:pt>
                <c:pt idx="64">
                  <c:v>7.2911659317181259E-3</c:v>
                </c:pt>
                <c:pt idx="65">
                  <c:v>7.2911659317181259E-3</c:v>
                </c:pt>
                <c:pt idx="66">
                  <c:v>7.2911659317181259E-3</c:v>
                </c:pt>
                <c:pt idx="67">
                  <c:v>7.2911659317181259E-3</c:v>
                </c:pt>
                <c:pt idx="68">
                  <c:v>7.2911659317181259E-3</c:v>
                </c:pt>
                <c:pt idx="69">
                  <c:v>7.2911659317181259E-3</c:v>
                </c:pt>
                <c:pt idx="70">
                  <c:v>7.2911659317181259E-3</c:v>
                </c:pt>
                <c:pt idx="71">
                  <c:v>7.2911659317181259E-3</c:v>
                </c:pt>
                <c:pt idx="72">
                  <c:v>7.2911659317181259E-3</c:v>
                </c:pt>
                <c:pt idx="73">
                  <c:v>7.2911659317181259E-3</c:v>
                </c:pt>
                <c:pt idx="74">
                  <c:v>7.7136525131407249E-3</c:v>
                </c:pt>
                <c:pt idx="75">
                  <c:v>8.6759269519436251E-3</c:v>
                </c:pt>
                <c:pt idx="76">
                  <c:v>1.0812518891145975E-2</c:v>
                </c:pt>
                <c:pt idx="77">
                  <c:v>1.0812518891145975E-2</c:v>
                </c:pt>
                <c:pt idx="78">
                  <c:v>1.0812518891145975E-2</c:v>
                </c:pt>
                <c:pt idx="79">
                  <c:v>1.0812518891145975E-2</c:v>
                </c:pt>
                <c:pt idx="80">
                  <c:v>1.0812518891145975E-2</c:v>
                </c:pt>
                <c:pt idx="81">
                  <c:v>1.0812518891145975E-2</c:v>
                </c:pt>
                <c:pt idx="82">
                  <c:v>1.0812518891145975E-2</c:v>
                </c:pt>
                <c:pt idx="83">
                  <c:v>1.0812518891145975E-2</c:v>
                </c:pt>
                <c:pt idx="84">
                  <c:v>1.0812518891145975E-2</c:v>
                </c:pt>
                <c:pt idx="85">
                  <c:v>1.0812518891145975E-2</c:v>
                </c:pt>
                <c:pt idx="86">
                  <c:v>1.0812518891145975E-2</c:v>
                </c:pt>
                <c:pt idx="87">
                  <c:v>1.0812518891145975E-2</c:v>
                </c:pt>
                <c:pt idx="88">
                  <c:v>1.0812518891145975E-2</c:v>
                </c:pt>
                <c:pt idx="89">
                  <c:v>1.0812518891145975E-2</c:v>
                </c:pt>
                <c:pt idx="90">
                  <c:v>1.0812518891145975E-2</c:v>
                </c:pt>
                <c:pt idx="91">
                  <c:v>1.0812518891145975E-2</c:v>
                </c:pt>
                <c:pt idx="92">
                  <c:v>1.0812518891145975E-2</c:v>
                </c:pt>
                <c:pt idx="93">
                  <c:v>1.0812518891145975E-2</c:v>
                </c:pt>
                <c:pt idx="94">
                  <c:v>1.0812518891145975E-2</c:v>
                </c:pt>
                <c:pt idx="95">
                  <c:v>1.0812518891145975E-2</c:v>
                </c:pt>
                <c:pt idx="96">
                  <c:v>1.0812518891145975E-2</c:v>
                </c:pt>
                <c:pt idx="97">
                  <c:v>1.0812518891145975E-2</c:v>
                </c:pt>
                <c:pt idx="98">
                  <c:v>1.0812518891145975E-2</c:v>
                </c:pt>
                <c:pt idx="99">
                  <c:v>1.0812518891145975E-2</c:v>
                </c:pt>
                <c:pt idx="100">
                  <c:v>1.0812518891145975E-2</c:v>
                </c:pt>
                <c:pt idx="101">
                  <c:v>1.0812518891145975E-2</c:v>
                </c:pt>
                <c:pt idx="102">
                  <c:v>1.1216697755605725E-2</c:v>
                </c:pt>
                <c:pt idx="103">
                  <c:v>1.0734476844281225E-2</c:v>
                </c:pt>
                <c:pt idx="104">
                  <c:v>8.1829157315760244E-3</c:v>
                </c:pt>
                <c:pt idx="105">
                  <c:v>1.1908902263196195E-2</c:v>
                </c:pt>
                <c:pt idx="106">
                  <c:v>1.3363634283977849E-2</c:v>
                </c:pt>
                <c:pt idx="107">
                  <c:v>1.4921449735227752E-2</c:v>
                </c:pt>
                <c:pt idx="108">
                  <c:v>1.4921449735227752E-2</c:v>
                </c:pt>
                <c:pt idx="109">
                  <c:v>1.4921449735227752E-2</c:v>
                </c:pt>
                <c:pt idx="110">
                  <c:v>1.4921449735227752E-2</c:v>
                </c:pt>
                <c:pt idx="111">
                  <c:v>1.4921449735227752E-2</c:v>
                </c:pt>
                <c:pt idx="112">
                  <c:v>1.4921449735227752E-2</c:v>
                </c:pt>
                <c:pt idx="113">
                  <c:v>1.4921449735227752E-2</c:v>
                </c:pt>
                <c:pt idx="114">
                  <c:v>1.6657893603360521E-2</c:v>
                </c:pt>
                <c:pt idx="115">
                  <c:v>1.5248631889688922E-2</c:v>
                </c:pt>
                <c:pt idx="116">
                  <c:v>1.6479923155175012E-2</c:v>
                </c:pt>
                <c:pt idx="117">
                  <c:v>1.7774938772465471E-2</c:v>
                </c:pt>
                <c:pt idx="118">
                  <c:v>1.7774938772465471E-2</c:v>
                </c:pt>
                <c:pt idx="119">
                  <c:v>1.7774938772465471E-2</c:v>
                </c:pt>
                <c:pt idx="120">
                  <c:v>1.7774938772465471E-2</c:v>
                </c:pt>
                <c:pt idx="121">
                  <c:v>1.7774938772465471E-2</c:v>
                </c:pt>
                <c:pt idx="122">
                  <c:v>1.7774938772465471E-2</c:v>
                </c:pt>
                <c:pt idx="123">
                  <c:v>1.7774938772465471E-2</c:v>
                </c:pt>
                <c:pt idx="124">
                  <c:v>1.7937322233664229E-2</c:v>
                </c:pt>
                <c:pt idx="125">
                  <c:v>1.9627251636405336E-2</c:v>
                </c:pt>
                <c:pt idx="126">
                  <c:v>1.9449380069072576E-2</c:v>
                </c:pt>
                <c:pt idx="127">
                  <c:v>2.0073788890782845E-2</c:v>
                </c:pt>
                <c:pt idx="128">
                  <c:v>1.8614818920012946E-2</c:v>
                </c:pt>
                <c:pt idx="129">
                  <c:v>2.2692522648453738E-2</c:v>
                </c:pt>
                <c:pt idx="130">
                  <c:v>2.2692522648453738E-2</c:v>
                </c:pt>
                <c:pt idx="131">
                  <c:v>2.2692522648453738E-2</c:v>
                </c:pt>
                <c:pt idx="132">
                  <c:v>2.2692522648453738E-2</c:v>
                </c:pt>
                <c:pt idx="133">
                  <c:v>2.2692522648453738E-2</c:v>
                </c:pt>
                <c:pt idx="134">
                  <c:v>2.2692522648453738E-2</c:v>
                </c:pt>
                <c:pt idx="135">
                  <c:v>2.2692522648453738E-2</c:v>
                </c:pt>
                <c:pt idx="136">
                  <c:v>2.2692522648453738E-2</c:v>
                </c:pt>
                <c:pt idx="137">
                  <c:v>2.2692522648453738E-2</c:v>
                </c:pt>
                <c:pt idx="138">
                  <c:v>2.2692522648453738E-2</c:v>
                </c:pt>
                <c:pt idx="139">
                  <c:v>2.2692522648453738E-2</c:v>
                </c:pt>
                <c:pt idx="140">
                  <c:v>2.2692522648453738E-2</c:v>
                </c:pt>
                <c:pt idx="141">
                  <c:v>2.3111564134087E-2</c:v>
                </c:pt>
                <c:pt idx="142">
                  <c:v>2.3387980216005667E-2</c:v>
                </c:pt>
                <c:pt idx="143">
                  <c:v>2.5048972197365398E-2</c:v>
                </c:pt>
                <c:pt idx="144">
                  <c:v>2.4610183711375459E-2</c:v>
                </c:pt>
                <c:pt idx="145">
                  <c:v>2.4990585903858019E-2</c:v>
                </c:pt>
                <c:pt idx="146">
                  <c:v>2.5995706469133087E-2</c:v>
                </c:pt>
                <c:pt idx="147">
                  <c:v>2.5995706469133087E-2</c:v>
                </c:pt>
                <c:pt idx="148">
                  <c:v>2.5995706469133087E-2</c:v>
                </c:pt>
                <c:pt idx="149">
                  <c:v>2.5995706469133087E-2</c:v>
                </c:pt>
                <c:pt idx="150">
                  <c:v>2.5995706469133087E-2</c:v>
                </c:pt>
                <c:pt idx="151">
                  <c:v>2.5995706469133087E-2</c:v>
                </c:pt>
                <c:pt idx="152">
                  <c:v>2.5995706469133087E-2</c:v>
                </c:pt>
                <c:pt idx="153">
                  <c:v>2.5995706469133087E-2</c:v>
                </c:pt>
                <c:pt idx="154">
                  <c:v>2.5995706469133087E-2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1-4902-AA6B-37DAE613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4.1890823876042302E-3</c:v>
                </c:pt>
                <c:pt idx="7">
                  <c:v>4.1890823876042302E-3</c:v>
                </c:pt>
                <c:pt idx="8">
                  <c:v>4.1890823876042302E-3</c:v>
                </c:pt>
                <c:pt idx="9">
                  <c:v>4.1890823876042302E-3</c:v>
                </c:pt>
                <c:pt idx="10">
                  <c:v>6.6581215349783094E-3</c:v>
                </c:pt>
                <c:pt idx="11">
                  <c:v>6.4411873838767586E-3</c:v>
                </c:pt>
                <c:pt idx="12">
                  <c:v>6.340833756142839E-3</c:v>
                </c:pt>
                <c:pt idx="13">
                  <c:v>8.2011745166428278E-3</c:v>
                </c:pt>
                <c:pt idx="14">
                  <c:v>8.2011745166428278E-3</c:v>
                </c:pt>
                <c:pt idx="15">
                  <c:v>7.5437937966907178E-3</c:v>
                </c:pt>
                <c:pt idx="16">
                  <c:v>1.0085178671960016E-2</c:v>
                </c:pt>
                <c:pt idx="17">
                  <c:v>1.0229507360179116E-2</c:v>
                </c:pt>
                <c:pt idx="18">
                  <c:v>1.4209258279931214E-2</c:v>
                </c:pt>
                <c:pt idx="19">
                  <c:v>1.4209258279931214E-2</c:v>
                </c:pt>
                <c:pt idx="20">
                  <c:v>1.4209258279931214E-2</c:v>
                </c:pt>
                <c:pt idx="21">
                  <c:v>1.4209258279931214E-2</c:v>
                </c:pt>
                <c:pt idx="22">
                  <c:v>1.4209258279931214E-2</c:v>
                </c:pt>
                <c:pt idx="23">
                  <c:v>1.4209258279931214E-2</c:v>
                </c:pt>
                <c:pt idx="24">
                  <c:v>1.4378714629103083E-2</c:v>
                </c:pt>
                <c:pt idx="25">
                  <c:v>1.4644792463899554E-2</c:v>
                </c:pt>
                <c:pt idx="26">
                  <c:v>1.5054888551113805E-2</c:v>
                </c:pt>
                <c:pt idx="27">
                  <c:v>1.4850595986275304E-2</c:v>
                </c:pt>
                <c:pt idx="28">
                  <c:v>1.3450317341376672E-2</c:v>
                </c:pt>
                <c:pt idx="29">
                  <c:v>1.3420698244273782E-2</c:v>
                </c:pt>
                <c:pt idx="30">
                  <c:v>1.3420698244273782E-2</c:v>
                </c:pt>
                <c:pt idx="31">
                  <c:v>1.3420698244273782E-2</c:v>
                </c:pt>
                <c:pt idx="32">
                  <c:v>1.3420698244273782E-2</c:v>
                </c:pt>
                <c:pt idx="33">
                  <c:v>1.3420698244273782E-2</c:v>
                </c:pt>
                <c:pt idx="34">
                  <c:v>1.3420698244273782E-2</c:v>
                </c:pt>
                <c:pt idx="35">
                  <c:v>1.3420698244273782E-2</c:v>
                </c:pt>
                <c:pt idx="36">
                  <c:v>1.3420698244273782E-2</c:v>
                </c:pt>
                <c:pt idx="37">
                  <c:v>1.3420698244273782E-2</c:v>
                </c:pt>
                <c:pt idx="38">
                  <c:v>1.3420698244273782E-2</c:v>
                </c:pt>
                <c:pt idx="39">
                  <c:v>1.3420698244273782E-2</c:v>
                </c:pt>
                <c:pt idx="40">
                  <c:v>1.3420698244273782E-2</c:v>
                </c:pt>
                <c:pt idx="41">
                  <c:v>1.3420698244273782E-2</c:v>
                </c:pt>
                <c:pt idx="42">
                  <c:v>1.3420698244273782E-2</c:v>
                </c:pt>
                <c:pt idx="43">
                  <c:v>1.4231722705327252E-2</c:v>
                </c:pt>
                <c:pt idx="44">
                  <c:v>1.3141164315290922E-2</c:v>
                </c:pt>
                <c:pt idx="45">
                  <c:v>1.3356036061269123E-2</c:v>
                </c:pt>
                <c:pt idx="46">
                  <c:v>1.2466381764991293E-2</c:v>
                </c:pt>
                <c:pt idx="47">
                  <c:v>1.2219939132815293E-2</c:v>
                </c:pt>
                <c:pt idx="48">
                  <c:v>1.3191575485261096E-2</c:v>
                </c:pt>
                <c:pt idx="49">
                  <c:v>1.2924438576007266E-2</c:v>
                </c:pt>
                <c:pt idx="50">
                  <c:v>1.3988909005895726E-2</c:v>
                </c:pt>
                <c:pt idx="51">
                  <c:v>1.4194264871398006E-2</c:v>
                </c:pt>
                <c:pt idx="52">
                  <c:v>1.4194264871398006E-2</c:v>
                </c:pt>
                <c:pt idx="53">
                  <c:v>1.4194264871398006E-2</c:v>
                </c:pt>
                <c:pt idx="54">
                  <c:v>1.4194264871398006E-2</c:v>
                </c:pt>
                <c:pt idx="55">
                  <c:v>1.4194264871398006E-2</c:v>
                </c:pt>
                <c:pt idx="56">
                  <c:v>1.4194264871398006E-2</c:v>
                </c:pt>
                <c:pt idx="57">
                  <c:v>1.4194264871398006E-2</c:v>
                </c:pt>
                <c:pt idx="58">
                  <c:v>1.4194264871398006E-2</c:v>
                </c:pt>
                <c:pt idx="59">
                  <c:v>1.4194264871398006E-2</c:v>
                </c:pt>
                <c:pt idx="60">
                  <c:v>1.4194264871398006E-2</c:v>
                </c:pt>
                <c:pt idx="61">
                  <c:v>1.9611972375016634E-2</c:v>
                </c:pt>
                <c:pt idx="62">
                  <c:v>1.9942105023007105E-2</c:v>
                </c:pt>
                <c:pt idx="63">
                  <c:v>1.8244317596422265E-2</c:v>
                </c:pt>
                <c:pt idx="64">
                  <c:v>2.2273990838773565E-2</c:v>
                </c:pt>
                <c:pt idx="65">
                  <c:v>2.2273990838773565E-2</c:v>
                </c:pt>
                <c:pt idx="66">
                  <c:v>2.2273990838773565E-2</c:v>
                </c:pt>
                <c:pt idx="67">
                  <c:v>2.2273990838773565E-2</c:v>
                </c:pt>
                <c:pt idx="68">
                  <c:v>2.2273990838773565E-2</c:v>
                </c:pt>
                <c:pt idx="69">
                  <c:v>2.2273990838773565E-2</c:v>
                </c:pt>
                <c:pt idx="70">
                  <c:v>2.2273990838773565E-2</c:v>
                </c:pt>
                <c:pt idx="71">
                  <c:v>2.2273990838773565E-2</c:v>
                </c:pt>
                <c:pt idx="72">
                  <c:v>2.2273990838773565E-2</c:v>
                </c:pt>
                <c:pt idx="73">
                  <c:v>2.2273990838773565E-2</c:v>
                </c:pt>
                <c:pt idx="74">
                  <c:v>2.2696477420196162E-2</c:v>
                </c:pt>
                <c:pt idx="75">
                  <c:v>2.3658751858999065E-2</c:v>
                </c:pt>
                <c:pt idx="76">
                  <c:v>2.5795343798201417E-2</c:v>
                </c:pt>
                <c:pt idx="77">
                  <c:v>2.5795343798201417E-2</c:v>
                </c:pt>
                <c:pt idx="78">
                  <c:v>2.5795343798201417E-2</c:v>
                </c:pt>
                <c:pt idx="79">
                  <c:v>2.5795343798201417E-2</c:v>
                </c:pt>
                <c:pt idx="80">
                  <c:v>2.5795343798201417E-2</c:v>
                </c:pt>
                <c:pt idx="81">
                  <c:v>2.5795343798201417E-2</c:v>
                </c:pt>
                <c:pt idx="82">
                  <c:v>2.5795343798201417E-2</c:v>
                </c:pt>
                <c:pt idx="83">
                  <c:v>2.5795343798201417E-2</c:v>
                </c:pt>
                <c:pt idx="84">
                  <c:v>2.5795343798201417E-2</c:v>
                </c:pt>
                <c:pt idx="85">
                  <c:v>2.5795343798201417E-2</c:v>
                </c:pt>
                <c:pt idx="86">
                  <c:v>2.5795343798201417E-2</c:v>
                </c:pt>
                <c:pt idx="87">
                  <c:v>2.5795343798201417E-2</c:v>
                </c:pt>
                <c:pt idx="88">
                  <c:v>2.5795343798201417E-2</c:v>
                </c:pt>
                <c:pt idx="89">
                  <c:v>2.5795343798201417E-2</c:v>
                </c:pt>
                <c:pt idx="90">
                  <c:v>2.5795343798201417E-2</c:v>
                </c:pt>
                <c:pt idx="91">
                  <c:v>2.5703977080272517E-2</c:v>
                </c:pt>
                <c:pt idx="92">
                  <c:v>2.5703977080272517E-2</c:v>
                </c:pt>
                <c:pt idx="93">
                  <c:v>2.8155058103417015E-2</c:v>
                </c:pt>
                <c:pt idx="94">
                  <c:v>2.7881936845447045E-2</c:v>
                </c:pt>
                <c:pt idx="95">
                  <c:v>2.8942192323901966E-2</c:v>
                </c:pt>
                <c:pt idx="96">
                  <c:v>2.8942192323901966E-2</c:v>
                </c:pt>
                <c:pt idx="97">
                  <c:v>2.8942192323901966E-2</c:v>
                </c:pt>
                <c:pt idx="98">
                  <c:v>2.8942192323901966E-2</c:v>
                </c:pt>
                <c:pt idx="99">
                  <c:v>2.8942192323901966E-2</c:v>
                </c:pt>
                <c:pt idx="100">
                  <c:v>2.8942192323901966E-2</c:v>
                </c:pt>
                <c:pt idx="101">
                  <c:v>2.8942192323901966E-2</c:v>
                </c:pt>
                <c:pt idx="102">
                  <c:v>2.9346371188361715E-2</c:v>
                </c:pt>
                <c:pt idx="103">
                  <c:v>2.8864150277037214E-2</c:v>
                </c:pt>
                <c:pt idx="104">
                  <c:v>2.6312589164332014E-2</c:v>
                </c:pt>
                <c:pt idx="105">
                  <c:v>3.0038575695952183E-2</c:v>
                </c:pt>
                <c:pt idx="106">
                  <c:v>3.1493307716733837E-2</c:v>
                </c:pt>
                <c:pt idx="107">
                  <c:v>3.305112316798374E-2</c:v>
                </c:pt>
                <c:pt idx="108">
                  <c:v>3.305112316798374E-2</c:v>
                </c:pt>
                <c:pt idx="109">
                  <c:v>3.305112316798374E-2</c:v>
                </c:pt>
                <c:pt idx="110">
                  <c:v>3.305112316798374E-2</c:v>
                </c:pt>
                <c:pt idx="111">
                  <c:v>3.305112316798374E-2</c:v>
                </c:pt>
                <c:pt idx="112">
                  <c:v>3.305112316798374E-2</c:v>
                </c:pt>
                <c:pt idx="113">
                  <c:v>3.305112316798374E-2</c:v>
                </c:pt>
                <c:pt idx="114">
                  <c:v>3.4787567036116511E-2</c:v>
                </c:pt>
                <c:pt idx="115">
                  <c:v>3.3378305322444908E-2</c:v>
                </c:pt>
                <c:pt idx="116">
                  <c:v>3.4609596587930995E-2</c:v>
                </c:pt>
                <c:pt idx="117">
                  <c:v>3.5904612205221453E-2</c:v>
                </c:pt>
                <c:pt idx="118">
                  <c:v>3.5904612205221453E-2</c:v>
                </c:pt>
                <c:pt idx="119">
                  <c:v>3.5904612205221453E-2</c:v>
                </c:pt>
                <c:pt idx="120">
                  <c:v>3.5904612205221453E-2</c:v>
                </c:pt>
                <c:pt idx="121">
                  <c:v>3.5904612205221453E-2</c:v>
                </c:pt>
                <c:pt idx="122">
                  <c:v>3.5904612205221453E-2</c:v>
                </c:pt>
                <c:pt idx="123">
                  <c:v>3.5904612205221453E-2</c:v>
                </c:pt>
                <c:pt idx="124">
                  <c:v>3.6066995666420208E-2</c:v>
                </c:pt>
                <c:pt idx="125">
                  <c:v>3.7756925069161319E-2</c:v>
                </c:pt>
                <c:pt idx="126">
                  <c:v>3.7579053501828559E-2</c:v>
                </c:pt>
                <c:pt idx="127">
                  <c:v>3.8203462323538828E-2</c:v>
                </c:pt>
                <c:pt idx="128">
                  <c:v>3.6744492352768929E-2</c:v>
                </c:pt>
                <c:pt idx="129">
                  <c:v>4.0822196081209725E-2</c:v>
                </c:pt>
                <c:pt idx="130">
                  <c:v>4.0822196081209725E-2</c:v>
                </c:pt>
                <c:pt idx="131">
                  <c:v>4.0822196081209725E-2</c:v>
                </c:pt>
                <c:pt idx="132">
                  <c:v>4.0822196081209725E-2</c:v>
                </c:pt>
                <c:pt idx="133">
                  <c:v>4.0822196081209725E-2</c:v>
                </c:pt>
                <c:pt idx="134">
                  <c:v>4.0822196081209725E-2</c:v>
                </c:pt>
                <c:pt idx="135">
                  <c:v>4.0822196081209725E-2</c:v>
                </c:pt>
                <c:pt idx="136">
                  <c:v>4.0822196081209725E-2</c:v>
                </c:pt>
                <c:pt idx="137">
                  <c:v>4.0822196081209725E-2</c:v>
                </c:pt>
                <c:pt idx="138">
                  <c:v>4.0822196081209725E-2</c:v>
                </c:pt>
                <c:pt idx="139">
                  <c:v>4.0822196081209725E-2</c:v>
                </c:pt>
                <c:pt idx="140">
                  <c:v>4.0822196081209725E-2</c:v>
                </c:pt>
                <c:pt idx="141">
                  <c:v>4.1241237566842982E-2</c:v>
                </c:pt>
                <c:pt idx="142">
                  <c:v>4.151765364876165E-2</c:v>
                </c:pt>
                <c:pt idx="143">
                  <c:v>4.317864563012138E-2</c:v>
                </c:pt>
                <c:pt idx="144">
                  <c:v>4.2739857144131442E-2</c:v>
                </c:pt>
                <c:pt idx="145">
                  <c:v>4.3120259336614002E-2</c:v>
                </c:pt>
                <c:pt idx="146">
                  <c:v>4.412537990188907E-2</c:v>
                </c:pt>
                <c:pt idx="147">
                  <c:v>4.412537990188907E-2</c:v>
                </c:pt>
                <c:pt idx="148">
                  <c:v>4.412537990188907E-2</c:v>
                </c:pt>
                <c:pt idx="149">
                  <c:v>4.412537990188907E-2</c:v>
                </c:pt>
                <c:pt idx="150">
                  <c:v>4.412537990188907E-2</c:v>
                </c:pt>
                <c:pt idx="151">
                  <c:v>4.412537990188907E-2</c:v>
                </c:pt>
                <c:pt idx="152">
                  <c:v>4.412537990188907E-2</c:v>
                </c:pt>
                <c:pt idx="153">
                  <c:v>4.412537990188907E-2</c:v>
                </c:pt>
                <c:pt idx="154">
                  <c:v>4.412537990188907E-2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36-48F1-9B7E-D1EC7D1DF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6D1FC4-A77F-4FF4-ACE0-6A72574D4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3FE9E-3395-4FC7-A04D-E897A249B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62041B-90CE-4680-9DA4-B339383ECB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FA4E5-FC82-4784-BA24-69ECB9451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8EDBEC-5838-4F01-B443-55901C503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708893-5EFA-4460-9631-12831D46A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6EB034-C879-4CF7-B0D1-A3B7D10FA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6E2B-200B-40E1-BA88-E5015619C08B}">
  <dimension ref="A1:DZ179"/>
  <sheetViews>
    <sheetView tabSelected="1" topLeftCell="AI1" workbookViewId="0">
      <selection activeCell="AO15" sqref="AO15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8.4257812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2.9761120997663664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3.1204252795696639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54.93</v>
      </c>
      <c r="C2" s="33">
        <v>129.65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54.93</v>
      </c>
      <c r="M2" s="33">
        <v>129.65</v>
      </c>
      <c r="N2" s="34">
        <v>2.3602767158201301</v>
      </c>
      <c r="O2" s="34">
        <v>2.3814540004427101</v>
      </c>
      <c r="X2" s="34">
        <v>2.3602767158201301</v>
      </c>
      <c r="Y2" s="34">
        <v>2.38188334875188</v>
      </c>
      <c r="AI2" s="4">
        <v>0</v>
      </c>
      <c r="AJ2" s="10">
        <f t="dataTable" ref="AJ2:AQ9" dt2D="1" dtr="1" r1="AI21" r2="AI22"/>
        <v>2.3656106927743599</v>
      </c>
      <c r="AK2" s="10">
        <v>2.2833355281371981</v>
      </c>
      <c r="AL2" s="10">
        <v>2.3326630127805044</v>
      </c>
      <c r="AM2" s="10">
        <v>1.9474576647652024</v>
      </c>
      <c r="AN2" s="10">
        <v>2.3222615384929526</v>
      </c>
      <c r="AO2" s="10">
        <v>-1.2750711555097256</v>
      </c>
      <c r="AP2" s="10" t="e">
        <v>#DIV/0!</v>
      </c>
      <c r="AQ2" s="10" t="e">
        <v>#DIV/0!</v>
      </c>
      <c r="AR2"/>
      <c r="AT2" s="4">
        <v>0</v>
      </c>
      <c r="AU2" s="10">
        <f t="dataTable" ref="AU2:BB9" dt2D="1" dtr="1" r1="AT21" r2="AT22"/>
        <v>1.7359057597662932</v>
      </c>
      <c r="AV2" s="11">
        <v>1.5104807159971692</v>
      </c>
      <c r="AW2" s="11">
        <v>1.1303588404745213</v>
      </c>
      <c r="AX2" s="11">
        <v>1.7199101834957073</v>
      </c>
      <c r="AY2" s="11">
        <v>2.2442664909582448</v>
      </c>
      <c r="AZ2" s="11">
        <v>2.3825310835357634</v>
      </c>
      <c r="BA2" s="11">
        <v>1.5416380378849079</v>
      </c>
      <c r="BB2" s="11">
        <v>1.5416380378849079</v>
      </c>
      <c r="BC2"/>
    </row>
    <row r="3" spans="1:130" x14ac:dyDescent="0.25">
      <c r="A3" s="1">
        <v>46027</v>
      </c>
      <c r="B3" s="33">
        <v>56.13</v>
      </c>
      <c r="C3" s="33">
        <v>132.78</v>
      </c>
      <c r="D3" s="15">
        <v>2.1610781599578799E-2</v>
      </c>
      <c r="E3" s="15">
        <v>2.3855111306339799E-2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56.13</v>
      </c>
      <c r="M3" s="33">
        <v>132.78</v>
      </c>
      <c r="N3" s="34">
        <v>2.3655799037947598</v>
      </c>
      <c r="O3" s="34">
        <v>2.3814540004427101</v>
      </c>
      <c r="R3" s="33">
        <v>133.67101304484899</v>
      </c>
      <c r="U3" s="15">
        <v>6.68803136380437E-3</v>
      </c>
      <c r="X3" s="34">
        <v>2.3655799037947598</v>
      </c>
      <c r="Y3" s="34">
        <v>2.38188334875188</v>
      </c>
      <c r="AB3" s="33">
        <v>133.69511236544301</v>
      </c>
      <c r="AE3" s="15">
        <v>6.8683034204983099E-3</v>
      </c>
      <c r="AI3" s="4">
        <f t="shared" ref="AI3:AI9" si="2">AI2-AK$12</f>
        <v>-1E-3</v>
      </c>
      <c r="AJ3" s="10">
        <v>2.3656106927743599</v>
      </c>
      <c r="AK3" s="10">
        <v>2.4516259980015813</v>
      </c>
      <c r="AL3" s="10">
        <v>2.7234462387484006</v>
      </c>
      <c r="AM3" s="10">
        <v>2.2387904117320789</v>
      </c>
      <c r="AN3" s="10">
        <v>2.9761120997663664</v>
      </c>
      <c r="AO3" s="11">
        <v>-1.2750711555097256</v>
      </c>
      <c r="AP3" s="10" t="e">
        <v>#DIV/0!</v>
      </c>
      <c r="AQ3" s="10" t="e">
        <v>#DIV/0!</v>
      </c>
      <c r="AR3"/>
      <c r="AT3" s="4">
        <f>AT2+AV$12</f>
        <v>1E-3</v>
      </c>
      <c r="AU3" s="10">
        <v>1.7359057597662932</v>
      </c>
      <c r="AV3" s="11">
        <v>1.9373563824266253</v>
      </c>
      <c r="AW3" s="11">
        <v>1.8640481655273233</v>
      </c>
      <c r="AX3" s="11">
        <v>2.0962890500049949</v>
      </c>
      <c r="AY3" s="11">
        <v>2.6788472685025844</v>
      </c>
      <c r="AZ3" s="11">
        <v>3.2329805338276802</v>
      </c>
      <c r="BA3" s="11">
        <v>2.3254401936039981</v>
      </c>
      <c r="BB3" s="11">
        <v>2.3254401936039981</v>
      </c>
      <c r="BC3"/>
    </row>
    <row r="4" spans="1:130" x14ac:dyDescent="0.25">
      <c r="A4" s="1">
        <v>46028</v>
      </c>
      <c r="B4" s="33">
        <v>56.4</v>
      </c>
      <c r="C4" s="33">
        <v>133</v>
      </c>
      <c r="D4" s="15">
        <v>4.7987295499051898E-3</v>
      </c>
      <c r="E4" s="15">
        <v>1.65550493074049E-3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56.4</v>
      </c>
      <c r="M4" s="33">
        <v>133</v>
      </c>
      <c r="N4" s="34">
        <v>2.3581560283687901</v>
      </c>
      <c r="O4" s="34">
        <v>2.3814540004427101</v>
      </c>
      <c r="R4" s="33">
        <v>134.31400562496901</v>
      </c>
      <c r="U4" s="15">
        <v>9.8312559829691493E-3</v>
      </c>
      <c r="X4" s="34">
        <v>2.3581560283687901</v>
      </c>
      <c r="Y4" s="34">
        <v>2.38188334875188</v>
      </c>
      <c r="AB4" s="33">
        <v>134.338220869606</v>
      </c>
      <c r="AE4" s="15">
        <v>1.0011528039663001E-2</v>
      </c>
      <c r="AG4"/>
      <c r="AI4" s="4">
        <f t="shared" si="2"/>
        <v>-2E-3</v>
      </c>
      <c r="AJ4" s="10">
        <v>2.3656106927743599</v>
      </c>
      <c r="AK4" s="11">
        <v>2.4516259980015813</v>
      </c>
      <c r="AL4" s="11">
        <v>2.4690182753375938</v>
      </c>
      <c r="AM4" s="11">
        <v>1.9446050227841394</v>
      </c>
      <c r="AN4" s="10">
        <v>2.287962124273542</v>
      </c>
      <c r="AO4" s="11">
        <v>-1.2750711555097256</v>
      </c>
      <c r="AP4" s="11" t="e">
        <v>#DIV/0!</v>
      </c>
      <c r="AQ4" s="11" t="e">
        <v>#DIV/0!</v>
      </c>
      <c r="AR4"/>
      <c r="AT4" s="4">
        <f t="shared" ref="AT4:AT9" si="3">AT3+AV$12</f>
        <v>2E-3</v>
      </c>
      <c r="AU4" s="10">
        <v>1.7359057597662932</v>
      </c>
      <c r="AV4" s="11">
        <v>1.9373563824266253</v>
      </c>
      <c r="AW4" s="11">
        <v>2.4518639586802782</v>
      </c>
      <c r="AX4" s="11">
        <v>1.9075326813405227</v>
      </c>
      <c r="AY4" s="11">
        <v>2.5255280410129579</v>
      </c>
      <c r="AZ4" s="11">
        <v>3.1204252795696639</v>
      </c>
      <c r="BA4" s="11">
        <v>2.3254401936039981</v>
      </c>
      <c r="BB4" s="11">
        <v>2.3254401936039981</v>
      </c>
      <c r="BC4"/>
      <c r="BE4" s="8"/>
      <c r="BF4" s="8"/>
    </row>
    <row r="5" spans="1:130" x14ac:dyDescent="0.25">
      <c r="A5" s="1">
        <v>46029</v>
      </c>
      <c r="B5" s="33">
        <v>55.61</v>
      </c>
      <c r="C5" s="33">
        <v>130.84</v>
      </c>
      <c r="D5" s="15">
        <v>-1.41061173045405E-2</v>
      </c>
      <c r="E5" s="15">
        <v>-1.6373925551570499E-2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55.61</v>
      </c>
      <c r="M5" s="33">
        <v>130.84</v>
      </c>
      <c r="N5" s="34">
        <v>2.3528142420427902</v>
      </c>
      <c r="O5" s="34">
        <v>2.3814540004427101</v>
      </c>
      <c r="R5" s="33">
        <v>132.43265696461901</v>
      </c>
      <c r="U5" s="15">
        <v>1.2099064229999301E-2</v>
      </c>
      <c r="X5" s="34">
        <v>2.3528142420427902</v>
      </c>
      <c r="Y5" s="34">
        <v>2.38188334875188</v>
      </c>
      <c r="AB5" s="33">
        <v>132.45653302409201</v>
      </c>
      <c r="AE5" s="15">
        <v>1.2279336286692999E-2</v>
      </c>
      <c r="AG5" s="29"/>
      <c r="AI5" s="4">
        <f t="shared" si="2"/>
        <v>-3.0000000000000001E-3</v>
      </c>
      <c r="AJ5" s="10">
        <v>2.3656106927743599</v>
      </c>
      <c r="AK5" s="11">
        <v>2.4516259980015813</v>
      </c>
      <c r="AL5" s="11">
        <v>2.4690182753375938</v>
      </c>
      <c r="AM5" s="11">
        <v>1.6636476888053171</v>
      </c>
      <c r="AN5" s="11">
        <v>2.1580998385147607</v>
      </c>
      <c r="AO5" s="11">
        <v>-1.2750711555097256</v>
      </c>
      <c r="AP5" s="10" t="e">
        <v>#DIV/0!</v>
      </c>
      <c r="AQ5" s="11" t="e">
        <v>#DIV/0!</v>
      </c>
      <c r="AR5"/>
      <c r="AT5" s="4">
        <f t="shared" si="3"/>
        <v>3.0000000000000001E-3</v>
      </c>
      <c r="AU5" s="10">
        <v>1.7359057597662932</v>
      </c>
      <c r="AV5" s="11">
        <v>1.9373563824266253</v>
      </c>
      <c r="AW5" s="11">
        <v>2.4518639586802782</v>
      </c>
      <c r="AX5" s="11">
        <v>1.8743428968107454</v>
      </c>
      <c r="AY5" s="11">
        <v>1.8239933263729879</v>
      </c>
      <c r="AZ5" s="11">
        <v>2.5481245555609391</v>
      </c>
      <c r="BA5" s="11">
        <v>2.0163963396256066</v>
      </c>
      <c r="BB5" s="11">
        <v>2.0163963396256066</v>
      </c>
      <c r="BC5"/>
    </row>
    <row r="6" spans="1:130" x14ac:dyDescent="0.25">
      <c r="A6" s="1">
        <v>46030</v>
      </c>
      <c r="B6" s="33">
        <v>55.9</v>
      </c>
      <c r="C6" s="33">
        <v>131.79</v>
      </c>
      <c r="D6" s="15">
        <v>5.2013389615807298E-3</v>
      </c>
      <c r="E6" s="15">
        <v>7.23454398561471E-3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55.9</v>
      </c>
      <c r="M6" s="33">
        <v>131.79</v>
      </c>
      <c r="N6" s="34">
        <v>2.3576028622540202</v>
      </c>
      <c r="O6" s="34">
        <v>2.3814540004427101</v>
      </c>
      <c r="R6" s="33">
        <v>133.123278624747</v>
      </c>
      <c r="U6" s="15">
        <v>1.00658592059655E-2</v>
      </c>
      <c r="X6" s="34">
        <v>2.3576028622540202</v>
      </c>
      <c r="Y6" s="34">
        <v>2.38188334875188</v>
      </c>
      <c r="AB6" s="33">
        <v>133.14727919523</v>
      </c>
      <c r="AE6" s="15">
        <v>1.02461312626592E-2</v>
      </c>
      <c r="AG6" s="29"/>
      <c r="AI6" s="4">
        <f t="shared" si="2"/>
        <v>-4.0000000000000001E-3</v>
      </c>
      <c r="AJ6" s="10">
        <v>2.3656106927743599</v>
      </c>
      <c r="AK6" s="11">
        <v>2.4516259980015813</v>
      </c>
      <c r="AL6" s="11">
        <v>2.4690182753375938</v>
      </c>
      <c r="AM6" s="11">
        <v>1.6636476888053171</v>
      </c>
      <c r="AN6" s="11">
        <v>2.6356572091191954</v>
      </c>
      <c r="AO6" s="11">
        <v>-1.2750711555097256</v>
      </c>
      <c r="AP6" s="11" t="e">
        <v>#DIV/0!</v>
      </c>
      <c r="AQ6" s="11" t="e">
        <v>#DIV/0!</v>
      </c>
      <c r="AR6"/>
      <c r="AT6" s="4">
        <f t="shared" si="3"/>
        <v>4.0000000000000001E-3</v>
      </c>
      <c r="AU6" s="10">
        <v>1.7359057597662932</v>
      </c>
      <c r="AV6" s="11">
        <v>1.9373563824266253</v>
      </c>
      <c r="AW6" s="11">
        <v>2.4518639586802782</v>
      </c>
      <c r="AX6" s="11">
        <v>1.8743428968107454</v>
      </c>
      <c r="AY6" s="11">
        <v>1.9640538228325275</v>
      </c>
      <c r="AZ6" s="11">
        <v>2.1965241297896769</v>
      </c>
      <c r="BA6" s="11">
        <v>1.7785310487891681</v>
      </c>
      <c r="BB6" s="11">
        <v>1.7785310487891681</v>
      </c>
      <c r="BC6"/>
    </row>
    <row r="7" spans="1:130" x14ac:dyDescent="0.25">
      <c r="A7" s="1">
        <v>46031</v>
      </c>
      <c r="B7" s="33">
        <v>55.73</v>
      </c>
      <c r="C7" s="33">
        <v>131.56</v>
      </c>
      <c r="D7" s="15">
        <v>-3.04577857960847E-3</v>
      </c>
      <c r="E7" s="15">
        <v>-1.74672533494153E-3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55.73</v>
      </c>
      <c r="M7" s="33">
        <v>131.56</v>
      </c>
      <c r="N7" s="34">
        <v>2.3606675040373202</v>
      </c>
      <c r="O7" s="34">
        <v>2.3814540004427101</v>
      </c>
      <c r="R7" s="33">
        <v>132.71843144467201</v>
      </c>
      <c r="U7" s="15">
        <v>8.7668059612983403E-3</v>
      </c>
      <c r="X7" s="34">
        <v>2.3606675040373202</v>
      </c>
      <c r="Y7" s="34">
        <v>2.38188334875188</v>
      </c>
      <c r="AB7" s="33">
        <v>132.74235902594199</v>
      </c>
      <c r="AE7" s="15">
        <v>8.9470780179924103E-3</v>
      </c>
      <c r="AG7"/>
      <c r="AI7" s="4">
        <f t="shared" si="2"/>
        <v>-5.0000000000000001E-3</v>
      </c>
      <c r="AJ7" s="10">
        <v>2.3656106927743599</v>
      </c>
      <c r="AK7" s="11">
        <v>2.4516259980015813</v>
      </c>
      <c r="AL7" s="11">
        <v>2.4690182753375938</v>
      </c>
      <c r="AM7" s="11">
        <v>1.6636476888053171</v>
      </c>
      <c r="AN7" s="11">
        <v>2.6356572091191954</v>
      </c>
      <c r="AO7" s="11">
        <v>-1.2750711555097256</v>
      </c>
      <c r="AP7" s="11" t="e">
        <v>#DIV/0!</v>
      </c>
      <c r="AQ7" s="11" t="e">
        <v>#DIV/0!</v>
      </c>
      <c r="AR7"/>
      <c r="AT7" s="4">
        <f t="shared" si="3"/>
        <v>5.0000000000000001E-3</v>
      </c>
      <c r="AU7" s="10">
        <v>1.7359057597662932</v>
      </c>
      <c r="AV7" s="11">
        <v>1.9373563824266253</v>
      </c>
      <c r="AW7" s="11">
        <v>2.4518639586802782</v>
      </c>
      <c r="AX7" s="11">
        <v>1.8743428968107454</v>
      </c>
      <c r="AY7" s="11">
        <v>1.9640538228325275</v>
      </c>
      <c r="AZ7" s="11">
        <v>1.9335604207930066</v>
      </c>
      <c r="BA7" s="11">
        <v>1.7785310487891681</v>
      </c>
      <c r="BB7" s="11">
        <v>1.7785310487891681</v>
      </c>
      <c r="BC7"/>
    </row>
    <row r="8" spans="1:130" x14ac:dyDescent="0.25">
      <c r="A8" s="1">
        <v>46034</v>
      </c>
      <c r="B8" s="33">
        <v>55.29</v>
      </c>
      <c r="C8" s="33">
        <v>131.07</v>
      </c>
      <c r="D8" s="15">
        <v>-7.9265412316033707E-3</v>
      </c>
      <c r="E8" s="15">
        <v>-3.7314896894021401E-3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55.29</v>
      </c>
      <c r="M8" s="33">
        <v>131.07</v>
      </c>
      <c r="N8" s="34">
        <v>2.3705914270211599</v>
      </c>
      <c r="O8" s="34">
        <v>2.3814540004427101</v>
      </c>
      <c r="R8" s="33">
        <v>131.67059168447699</v>
      </c>
      <c r="U8" s="15">
        <v>4.5717544190970998E-3</v>
      </c>
      <c r="X8" s="34">
        <v>2.3705914270211599</v>
      </c>
      <c r="Y8" s="34">
        <v>2.38188334875188</v>
      </c>
      <c r="AB8" s="33">
        <v>131.69433035249099</v>
      </c>
      <c r="AE8" s="15">
        <v>4.75202647579111E-3</v>
      </c>
      <c r="AG8"/>
      <c r="AI8" s="4">
        <f t="shared" si="2"/>
        <v>-6.0000000000000001E-3</v>
      </c>
      <c r="AJ8" s="10">
        <v>2.3656106927743599</v>
      </c>
      <c r="AK8" s="11">
        <v>2.4516259980015813</v>
      </c>
      <c r="AL8" s="11">
        <v>2.4690182753375938</v>
      </c>
      <c r="AM8" s="11">
        <v>1.6636476888053171</v>
      </c>
      <c r="AN8" s="11">
        <v>2.6356572091191954</v>
      </c>
      <c r="AO8" s="11">
        <v>-1.2750711555097256</v>
      </c>
      <c r="AP8" s="11" t="e">
        <v>#DIV/0!</v>
      </c>
      <c r="AQ8" s="11" t="e">
        <v>#DIV/0!</v>
      </c>
      <c r="AR8"/>
      <c r="AT8" s="4">
        <f t="shared" si="3"/>
        <v>6.0000000000000001E-3</v>
      </c>
      <c r="AU8" s="10">
        <v>1.7359057597662932</v>
      </c>
      <c r="AV8" s="11">
        <v>1.9373563824266253</v>
      </c>
      <c r="AW8" s="11">
        <v>2.4518639586802782</v>
      </c>
      <c r="AX8" s="11">
        <v>1.8743428968107454</v>
      </c>
      <c r="AY8" s="11">
        <v>1.9640538228325275</v>
      </c>
      <c r="AZ8" s="11">
        <v>1.9335604207930066</v>
      </c>
      <c r="BA8" s="11">
        <v>1.7785310487891681</v>
      </c>
      <c r="BB8" s="11">
        <v>1.7785310487891681</v>
      </c>
      <c r="BC8"/>
    </row>
    <row r="9" spans="1:130" x14ac:dyDescent="0.25">
      <c r="A9" s="1">
        <v>46035</v>
      </c>
      <c r="B9" s="33">
        <v>54.23</v>
      </c>
      <c r="C9" s="33">
        <v>129.16</v>
      </c>
      <c r="D9" s="15">
        <v>-1.9357799496872299E-2</v>
      </c>
      <c r="E9" s="15">
        <v>-1.46795857413796E-2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54.23</v>
      </c>
      <c r="M9" s="33">
        <v>129.16</v>
      </c>
      <c r="N9" s="34">
        <v>2.3817075419509499</v>
      </c>
      <c r="O9" s="34">
        <v>2.3814540004427101</v>
      </c>
      <c r="R9" s="33">
        <v>129.14625044400799</v>
      </c>
      <c r="U9" s="15">
        <v>-1.0645933639550601E-4</v>
      </c>
      <c r="X9" s="34">
        <v>2.3817075419509499</v>
      </c>
      <c r="Y9" s="34">
        <v>2.38188334875188</v>
      </c>
      <c r="AB9" s="33">
        <v>129.169534002814</v>
      </c>
      <c r="AE9" s="15">
        <v>7.3812720298472795E-5</v>
      </c>
      <c r="AF9"/>
      <c r="AI9" s="4">
        <f t="shared" si="2"/>
        <v>-7.0000000000000001E-3</v>
      </c>
      <c r="AJ9" s="10">
        <v>2.3656106927743599</v>
      </c>
      <c r="AK9" s="11">
        <v>2.4516259980015813</v>
      </c>
      <c r="AL9" s="11">
        <v>2.4690182753375938</v>
      </c>
      <c r="AM9" s="11">
        <v>1.6636476888053171</v>
      </c>
      <c r="AN9" s="11">
        <v>2.6356572091191954</v>
      </c>
      <c r="AO9" s="11">
        <v>-1.2750711555097256</v>
      </c>
      <c r="AP9" s="11" t="e">
        <v>#DIV/0!</v>
      </c>
      <c r="AQ9" s="11" t="e">
        <v>#DIV/0!</v>
      </c>
      <c r="AR9"/>
      <c r="AT9" s="4">
        <f t="shared" si="3"/>
        <v>7.0000000000000001E-3</v>
      </c>
      <c r="AU9" s="10">
        <v>1.7359057597662932</v>
      </c>
      <c r="AV9" s="10">
        <v>1.9373563824266253</v>
      </c>
      <c r="AW9" s="10">
        <v>2.4518639586802782</v>
      </c>
      <c r="AX9" s="10">
        <v>1.8743428968107454</v>
      </c>
      <c r="AY9" s="10">
        <v>1.9640538228325275</v>
      </c>
      <c r="AZ9" s="10">
        <v>1.9335604207930066</v>
      </c>
      <c r="BA9" s="10">
        <v>1.7785310487891681</v>
      </c>
      <c r="BB9" s="10">
        <v>1.7785310487891681</v>
      </c>
      <c r="BC9"/>
    </row>
    <row r="10" spans="1:130" x14ac:dyDescent="0.25">
      <c r="A10" s="1">
        <v>46036</v>
      </c>
      <c r="B10" s="33">
        <v>54.15</v>
      </c>
      <c r="C10" s="33">
        <v>128.99</v>
      </c>
      <c r="D10" s="15">
        <v>-1.4762874059695899E-3</v>
      </c>
      <c r="E10" s="15">
        <v>-1.3170639130295899E-3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54.15</v>
      </c>
      <c r="M10" s="33">
        <v>128.99</v>
      </c>
      <c r="N10" s="34">
        <v>2.3820867959372101</v>
      </c>
      <c r="O10" s="34">
        <v>2.3814540004427101</v>
      </c>
      <c r="R10" s="33">
        <v>128.955734123973</v>
      </c>
      <c r="U10" s="15">
        <v>-2.65682829335469E-4</v>
      </c>
      <c r="X10" s="34">
        <v>2.3820867959372101</v>
      </c>
      <c r="Y10" s="34">
        <v>2.38188334875188</v>
      </c>
      <c r="AB10" s="33">
        <v>128.97898333491401</v>
      </c>
      <c r="AE10" s="15">
        <v>-8.5410772641605505E-5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54.37</v>
      </c>
      <c r="C11" s="33">
        <v>129.76</v>
      </c>
      <c r="D11" s="15">
        <v>4.05455771082955E-3</v>
      </c>
      <c r="E11" s="15">
        <v>5.9517083900579399E-3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54.37</v>
      </c>
      <c r="M11" s="33">
        <v>129.76</v>
      </c>
      <c r="N11" s="34">
        <v>2.38661026301269</v>
      </c>
      <c r="O11" s="34">
        <v>2.3814540004427101</v>
      </c>
      <c r="P11" s="34">
        <v>2.3676093284239799</v>
      </c>
      <c r="R11" s="33">
        <v>129.47965400407</v>
      </c>
      <c r="U11" s="15">
        <v>-2.1628335085637799E-3</v>
      </c>
      <c r="X11" s="34">
        <v>2.38661026301269</v>
      </c>
      <c r="Y11" s="34">
        <v>2.38188334875188</v>
      </c>
      <c r="Z11" s="34">
        <v>2.3676093284239799</v>
      </c>
      <c r="AB11" s="33">
        <v>129.50299767164</v>
      </c>
      <c r="AE11" s="15">
        <v>-1.9825614518697598E-3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54.44</v>
      </c>
      <c r="C12" s="33">
        <v>129.84</v>
      </c>
      <c r="D12" s="15">
        <v>1.28664662543604E-3</v>
      </c>
      <c r="E12" s="15">
        <v>6.1633283923312899E-4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54.44</v>
      </c>
      <c r="M12" s="33">
        <v>129.84</v>
      </c>
      <c r="N12" s="34">
        <v>2.3850110213078599</v>
      </c>
      <c r="O12" s="34">
        <v>2.3814540004427101</v>
      </c>
      <c r="P12" s="34">
        <v>2.37008275897275</v>
      </c>
      <c r="R12" s="33">
        <v>129.64635578410099</v>
      </c>
      <c r="S12" s="33">
        <v>128.892651839401</v>
      </c>
      <c r="U12" s="15">
        <v>-1.4925197223607399E-3</v>
      </c>
      <c r="V12" s="15">
        <v>-7.32302156261639E-3</v>
      </c>
      <c r="X12" s="34">
        <v>2.3850110213078599</v>
      </c>
      <c r="Y12" s="34">
        <v>2.38188334875188</v>
      </c>
      <c r="Z12" s="34">
        <v>2.37008275897275</v>
      </c>
      <c r="AB12" s="33">
        <v>129.66972950605199</v>
      </c>
      <c r="AC12" s="33">
        <v>128.892651839401</v>
      </c>
      <c r="AE12" s="15">
        <v>-1.3122476656668601E-3</v>
      </c>
      <c r="AF12" s="15">
        <v>-7.32302156261639E-3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53.2</v>
      </c>
      <c r="C13" s="33">
        <v>126.95</v>
      </c>
      <c r="D13" s="15">
        <v>-2.3040781435666499E-2</v>
      </c>
      <c r="E13" s="15">
        <v>-2.2509615055648299E-2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53.2</v>
      </c>
      <c r="M13" s="33">
        <v>126.95</v>
      </c>
      <c r="N13" s="34">
        <v>2.3862781954887202</v>
      </c>
      <c r="O13" s="34">
        <v>2.3814540004427101</v>
      </c>
      <c r="P13" s="34">
        <v>2.3721525881421499</v>
      </c>
      <c r="R13" s="33">
        <v>126.693352823552</v>
      </c>
      <c r="S13" s="33">
        <v>126.08840277735</v>
      </c>
      <c r="U13" s="15">
        <v>-2.0236861023789601E-3</v>
      </c>
      <c r="V13" s="15">
        <v>-6.8100378679286401E-3</v>
      </c>
      <c r="X13" s="34">
        <v>2.3862781954887202</v>
      </c>
      <c r="Y13" s="34">
        <v>2.38188334875188</v>
      </c>
      <c r="Z13" s="34">
        <v>2.3721525881421499</v>
      </c>
      <c r="AB13" s="33">
        <v>126.7161941536</v>
      </c>
      <c r="AC13" s="33">
        <v>126.08840277735</v>
      </c>
      <c r="AE13" s="15">
        <v>-1.8434140456850901E-3</v>
      </c>
      <c r="AF13" s="15">
        <v>-6.8100378679286401E-3</v>
      </c>
    </row>
    <row r="14" spans="1:130" x14ac:dyDescent="0.25">
      <c r="A14" s="1">
        <v>46043</v>
      </c>
      <c r="B14" s="33">
        <v>53.46</v>
      </c>
      <c r="C14" s="33">
        <v>127.82</v>
      </c>
      <c r="D14" s="15">
        <v>4.8753143631741699E-3</v>
      </c>
      <c r="E14" s="15">
        <v>6.8297160714481499E-3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53.46</v>
      </c>
      <c r="M14" s="33">
        <v>127.82</v>
      </c>
      <c r="N14" s="34">
        <v>2.3909465020576102</v>
      </c>
      <c r="O14" s="34">
        <v>2.3814540004427101</v>
      </c>
      <c r="P14" s="34">
        <v>2.3754316355110299</v>
      </c>
      <c r="R14" s="33">
        <v>127.31253086366701</v>
      </c>
      <c r="S14" s="33">
        <v>126.815277362079</v>
      </c>
      <c r="U14" s="15">
        <v>-3.9780878106530203E-3</v>
      </c>
      <c r="V14" s="15">
        <v>-7.8915055485433896E-3</v>
      </c>
      <c r="X14" s="34">
        <v>2.3909465020576102</v>
      </c>
      <c r="Y14" s="34">
        <v>2.38188334875188</v>
      </c>
      <c r="Z14" s="34">
        <v>2.3754316355110299</v>
      </c>
      <c r="AB14" s="33">
        <v>127.335483824275</v>
      </c>
      <c r="AC14" s="33">
        <v>126.815277362079</v>
      </c>
      <c r="AE14" s="15">
        <v>-3.79781575395909E-3</v>
      </c>
      <c r="AF14" s="15">
        <v>-7.8915055485433896E-3</v>
      </c>
      <c r="AQ14" s="20">
        <f>AVERAGE(AQ22:AQ176)</f>
        <v>1.1696563505003864E-4</v>
      </c>
      <c r="AR14" s="21" t="s">
        <v>41</v>
      </c>
      <c r="BB14" s="20">
        <f>AVERAGE(BB22:BB176)</f>
        <v>1.6771423528472959E-4</v>
      </c>
      <c r="BC14" s="21" t="s">
        <v>41</v>
      </c>
      <c r="BD14" s="22"/>
      <c r="BE14" s="20">
        <f>AVERAGE(BE22:BE176)</f>
        <v>2.8467987033476821E-4</v>
      </c>
      <c r="BF14" s="21" t="s">
        <v>41</v>
      </c>
    </row>
    <row r="15" spans="1:130" x14ac:dyDescent="0.25">
      <c r="A15" s="1">
        <v>46044</v>
      </c>
      <c r="B15" s="33">
        <v>53.81</v>
      </c>
      <c r="C15" s="33">
        <v>128.41</v>
      </c>
      <c r="D15" s="15">
        <v>6.5256127905554701E-3</v>
      </c>
      <c r="E15" s="15">
        <v>4.6052456210469899E-3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53.81</v>
      </c>
      <c r="M15" s="33">
        <v>128.41</v>
      </c>
      <c r="N15" s="34">
        <v>2.3863594127485501</v>
      </c>
      <c r="O15" s="34">
        <v>2.3814540004427101</v>
      </c>
      <c r="P15" s="34">
        <v>2.3787861525816099</v>
      </c>
      <c r="R15" s="33">
        <v>128.14603976382199</v>
      </c>
      <c r="S15" s="33">
        <v>127.821976306848</v>
      </c>
      <c r="U15" s="15">
        <v>-2.0577206411444399E-3</v>
      </c>
      <c r="V15" s="15">
        <v>-4.58978410038867E-3</v>
      </c>
      <c r="X15" s="34">
        <v>2.3863594127485501</v>
      </c>
      <c r="Y15" s="34">
        <v>2.38188334875188</v>
      </c>
      <c r="Z15" s="34">
        <v>2.3787861525816099</v>
      </c>
      <c r="AB15" s="33">
        <v>128.16914299633899</v>
      </c>
      <c r="AC15" s="33">
        <v>127.821976306848</v>
      </c>
      <c r="AE15" s="15">
        <v>-1.8774485844505E-3</v>
      </c>
      <c r="AF15" s="15">
        <v>-4.58978410038867E-3</v>
      </c>
      <c r="AQ15" s="20">
        <f>STDEV(AQ22:AQ176)</f>
        <v>6.2389178614764384E-4</v>
      </c>
      <c r="AR15" s="21" t="s">
        <v>42</v>
      </c>
      <c r="BB15" s="20">
        <f>STDEV(BB22:BB176)</f>
        <v>8.532109276142574E-4</v>
      </c>
      <c r="BC15" s="21" t="s">
        <v>42</v>
      </c>
      <c r="BD15" s="22"/>
      <c r="BE15" s="20">
        <f>STDEV(BE22:BE176)</f>
        <v>1.0381336523232645E-3</v>
      </c>
      <c r="BF15" s="21" t="s">
        <v>42</v>
      </c>
    </row>
    <row r="16" spans="1:130" x14ac:dyDescent="0.25">
      <c r="A16" s="1">
        <v>46045</v>
      </c>
      <c r="B16" s="33">
        <v>53.07</v>
      </c>
      <c r="C16" s="33">
        <v>126.73</v>
      </c>
      <c r="D16" s="15">
        <v>-1.38475266615246E-2</v>
      </c>
      <c r="E16" s="15">
        <v>-1.3169430749209701E-2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53.07</v>
      </c>
      <c r="M16" s="33">
        <v>126.73</v>
      </c>
      <c r="N16" s="34">
        <v>2.3879781420764998</v>
      </c>
      <c r="O16" s="34">
        <v>2.3814540004427101</v>
      </c>
      <c r="P16" s="34">
        <v>2.38182368056385</v>
      </c>
      <c r="R16" s="33">
        <v>126.38376380349401</v>
      </c>
      <c r="S16" s="33">
        <v>126.24218111750599</v>
      </c>
      <c r="U16" s="15">
        <v>-2.7358165534595502E-3</v>
      </c>
      <c r="V16" s="15">
        <v>-3.85670459887887E-3</v>
      </c>
      <c r="X16" s="34">
        <v>2.3879781420764998</v>
      </c>
      <c r="Y16" s="34">
        <v>2.38188334875188</v>
      </c>
      <c r="Z16" s="34">
        <v>2.38182368056385</v>
      </c>
      <c r="AB16" s="33">
        <v>126.40654931826199</v>
      </c>
      <c r="AC16" s="33">
        <v>126.24218111750599</v>
      </c>
      <c r="AE16" s="15">
        <v>-2.55554449676555E-3</v>
      </c>
      <c r="AF16" s="15">
        <v>-3.85670459887887E-3</v>
      </c>
      <c r="AQ16" s="23">
        <f>SQRT(252)*AQ14/AQ15</f>
        <v>2.9761120997663664</v>
      </c>
      <c r="AR16" s="21" t="s">
        <v>43</v>
      </c>
      <c r="BB16" s="23">
        <f>SQRT(252)*BB14/BB15</f>
        <v>3.1204252795696639</v>
      </c>
      <c r="BC16" s="21" t="s">
        <v>43</v>
      </c>
      <c r="BD16" s="22"/>
      <c r="BE16" s="23">
        <f>SQRT(252)*BE14/BE15</f>
        <v>4.3531512834767874</v>
      </c>
      <c r="BF16" s="21" t="s">
        <v>43</v>
      </c>
    </row>
    <row r="17" spans="1:124" x14ac:dyDescent="0.25">
      <c r="A17" s="1">
        <v>46048</v>
      </c>
      <c r="B17" s="33">
        <v>53.41</v>
      </c>
      <c r="C17" s="33">
        <v>127.49</v>
      </c>
      <c r="D17" s="15">
        <v>6.3861975118753404E-3</v>
      </c>
      <c r="E17" s="15">
        <v>5.979091056058E-3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53.41</v>
      </c>
      <c r="M17" s="33">
        <v>127.49</v>
      </c>
      <c r="N17" s="34">
        <v>2.3870061786182299</v>
      </c>
      <c r="O17" s="34">
        <v>2.3814540004427101</v>
      </c>
      <c r="P17" s="34">
        <v>2.3844575480219499</v>
      </c>
      <c r="R17" s="33">
        <v>127.193458163645</v>
      </c>
      <c r="S17" s="33">
        <v>127.213202778915</v>
      </c>
      <c r="U17" s="15">
        <v>-2.32871009764227E-3</v>
      </c>
      <c r="V17" s="15">
        <v>-2.1734891986548801E-3</v>
      </c>
      <c r="X17" s="34">
        <v>2.3870061786182299</v>
      </c>
      <c r="Y17" s="34">
        <v>2.38188334875188</v>
      </c>
      <c r="Z17" s="34">
        <v>2.3844575480219499</v>
      </c>
      <c r="AB17" s="33">
        <v>127.216389656838</v>
      </c>
      <c r="AC17" s="33">
        <v>127.213202778915</v>
      </c>
      <c r="AE17" s="15">
        <v>-2.14843804094822E-3</v>
      </c>
      <c r="AF17" s="15">
        <v>-2.1734891986548801E-3</v>
      </c>
    </row>
    <row r="18" spans="1:124" x14ac:dyDescent="0.25">
      <c r="A18" s="1">
        <v>46049</v>
      </c>
      <c r="B18" s="33">
        <v>53</v>
      </c>
      <c r="C18" s="33">
        <v>126.82</v>
      </c>
      <c r="D18" s="15">
        <v>-7.7060807995570496E-3</v>
      </c>
      <c r="E18" s="15">
        <v>-5.2691718781452896E-3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53</v>
      </c>
      <c r="M18" s="33">
        <v>126.82</v>
      </c>
      <c r="N18" s="34">
        <v>2.3928301886792398</v>
      </c>
      <c r="O18" s="34">
        <v>2.3814540004427101</v>
      </c>
      <c r="P18" s="34">
        <v>2.3866814241877501</v>
      </c>
      <c r="R18" s="33">
        <v>126.217062023463</v>
      </c>
      <c r="S18" s="33">
        <v>126.376250045163</v>
      </c>
      <c r="U18" s="15">
        <v>-4.7656190190539204E-3</v>
      </c>
      <c r="V18" s="15">
        <v>-3.5051894259603201E-3</v>
      </c>
      <c r="X18" s="34">
        <v>2.3928301886792398</v>
      </c>
      <c r="Y18" s="34">
        <v>2.38188334875188</v>
      </c>
      <c r="Z18" s="34">
        <v>2.3866814241877501</v>
      </c>
      <c r="AB18" s="33">
        <v>126.239817483849</v>
      </c>
      <c r="AC18" s="33">
        <v>126.376250045163</v>
      </c>
      <c r="AE18" s="15">
        <v>-4.58534696236001E-3</v>
      </c>
      <c r="AF18" s="15">
        <v>-3.5051894259603201E-3</v>
      </c>
      <c r="BE18" s="24">
        <f>SUM(BE22:BE176)</f>
        <v>4.412537990188907E-2</v>
      </c>
      <c r="BF18" s="20">
        <f>BF176</f>
        <v>4.412537990188907E-2</v>
      </c>
    </row>
    <row r="19" spans="1:124" x14ac:dyDescent="0.25">
      <c r="A19" s="1">
        <v>46050</v>
      </c>
      <c r="B19" s="33">
        <v>52.99</v>
      </c>
      <c r="C19" s="33">
        <v>126.73</v>
      </c>
      <c r="D19" s="15">
        <v>-1.8869704745108699E-4</v>
      </c>
      <c r="E19" s="15">
        <v>-7.0991917791264896E-4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52.99</v>
      </c>
      <c r="M19" s="33">
        <v>126.73</v>
      </c>
      <c r="N19" s="34">
        <v>2.3915833176070902</v>
      </c>
      <c r="O19" s="34">
        <v>2.3814540004427101</v>
      </c>
      <c r="P19" s="34">
        <v>2.3876690017533702</v>
      </c>
      <c r="R19" s="33">
        <v>126.193247483459</v>
      </c>
      <c r="S19" s="33">
        <v>126.470248667709</v>
      </c>
      <c r="U19" s="15">
        <v>-4.2443968885924098E-3</v>
      </c>
      <c r="V19" s="15">
        <v>-2.0517469850807701E-3</v>
      </c>
      <c r="X19" s="34">
        <v>2.3915833176070902</v>
      </c>
      <c r="Y19" s="34">
        <v>2.38188334875188</v>
      </c>
      <c r="Z19" s="34">
        <v>2.3876690017533702</v>
      </c>
      <c r="AB19" s="33">
        <v>126.215998650362</v>
      </c>
      <c r="AC19" s="33">
        <v>126.470248667709</v>
      </c>
      <c r="AE19" s="15">
        <v>-4.0641248318983702E-3</v>
      </c>
      <c r="AF19" s="15">
        <v>-2.0517469850807701E-3</v>
      </c>
      <c r="AI19" s="12"/>
      <c r="AJ19"/>
      <c r="AK19"/>
      <c r="AL19"/>
      <c r="AM19"/>
      <c r="AN19"/>
      <c r="AO19"/>
      <c r="AP19"/>
      <c r="AQ19" s="24">
        <f>SUM(AQ22:AQ176)</f>
        <v>1.812967343275599E-2</v>
      </c>
      <c r="AR19" s="24">
        <f>AR176</f>
        <v>1.812967343275599E-2</v>
      </c>
      <c r="AU19"/>
      <c r="AV19"/>
      <c r="AW19"/>
      <c r="AX19"/>
      <c r="AY19"/>
      <c r="AZ19"/>
      <c r="BA19"/>
      <c r="BB19" s="24">
        <f>SUM(BB22:BB176)</f>
        <v>2.5995706469133087E-2</v>
      </c>
      <c r="BC19" s="24">
        <f>BC176</f>
        <v>2.5995706469133087E-2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53.55</v>
      </c>
      <c r="C20" s="33">
        <v>127.72</v>
      </c>
      <c r="D20" s="15">
        <v>1.05125803890869E-2</v>
      </c>
      <c r="E20" s="15">
        <v>7.7815287526085096E-3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53.55</v>
      </c>
      <c r="M20" s="33">
        <v>127.72</v>
      </c>
      <c r="N20" s="34">
        <v>2.3850606909430399</v>
      </c>
      <c r="O20" s="34">
        <v>2.3814540004427101</v>
      </c>
      <c r="P20" s="34">
        <v>2.3879663912539502</v>
      </c>
      <c r="R20" s="33">
        <v>127.526861723707</v>
      </c>
      <c r="S20" s="33">
        <v>127.85967504389301</v>
      </c>
      <c r="U20" s="15">
        <v>-1.5133452521138499E-3</v>
      </c>
      <c r="V20" s="15">
        <v>1.0930059894202801E-3</v>
      </c>
      <c r="X20" s="34">
        <v>2.3850606909430399</v>
      </c>
      <c r="Y20" s="34">
        <v>2.38188334875188</v>
      </c>
      <c r="Z20" s="34">
        <v>2.3879663912539502</v>
      </c>
      <c r="AB20" s="33">
        <v>127.54985332566299</v>
      </c>
      <c r="AC20" s="33">
        <v>127.85967504389301</v>
      </c>
      <c r="AE20" s="15">
        <v>-1.33307319541984E-3</v>
      </c>
      <c r="AF20" s="15">
        <v>1.0930059894202801E-3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XLF log rtn</v>
      </c>
      <c r="AP20" s="7" t="str">
        <f>E1</f>
        <v>IYF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XLF log rtn</v>
      </c>
      <c r="BA20" s="24" t="str">
        <f>E1</f>
        <v>IYF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53.44</v>
      </c>
      <c r="C21" s="33">
        <v>127.7</v>
      </c>
      <c r="D21" s="15">
        <v>-2.0562676653674799E-3</v>
      </c>
      <c r="E21" s="15">
        <v>-1.5660480808768099E-4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53.44</v>
      </c>
      <c r="M21" s="33">
        <v>127.7</v>
      </c>
      <c r="N21" s="34">
        <v>2.38959580838323</v>
      </c>
      <c r="O21" s="34">
        <v>2.3814540004427101</v>
      </c>
      <c r="P21" s="34">
        <v>2.3882649457910099</v>
      </c>
      <c r="Q21" s="34">
        <v>2.37793713710749</v>
      </c>
      <c r="R21" s="33">
        <v>127.264901783658</v>
      </c>
      <c r="S21" s="33">
        <v>127.612923948611</v>
      </c>
      <c r="U21" s="15">
        <v>-3.41300810939361E-3</v>
      </c>
      <c r="V21" s="15">
        <v>-6.8211239304345501E-4</v>
      </c>
      <c r="X21" s="34">
        <v>2.38959580838323</v>
      </c>
      <c r="Y21" s="34">
        <v>2.38188334875188</v>
      </c>
      <c r="Z21" s="34">
        <v>2.3882649457910099</v>
      </c>
      <c r="AA21" s="34">
        <v>2.37793713710749</v>
      </c>
      <c r="AB21" s="33">
        <v>127.2878461573</v>
      </c>
      <c r="AC21" s="33">
        <v>127.612923948611</v>
      </c>
      <c r="AE21" s="15">
        <v>-3.2327360526996701E-3</v>
      </c>
      <c r="AF21" s="15">
        <v>-6.8211239304345501E-4</v>
      </c>
      <c r="AI21" s="26">
        <v>-4.0000000000000001E-3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5.0000000000000001E-3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54.03</v>
      </c>
      <c r="C22" s="33">
        <v>128.57</v>
      </c>
      <c r="D22" s="15">
        <v>1.0979918627584099E-2</v>
      </c>
      <c r="E22" s="15">
        <v>6.7897400576637599E-3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54.03</v>
      </c>
      <c r="M22" s="33">
        <v>128.57</v>
      </c>
      <c r="N22" s="34">
        <v>2.37960392374606</v>
      </c>
      <c r="O22" s="34">
        <v>2.3814540004427101</v>
      </c>
      <c r="P22" s="34">
        <v>2.3877242360348299</v>
      </c>
      <c r="Q22" s="34">
        <v>2.3789034975037899</v>
      </c>
      <c r="R22" s="33">
        <v>128.66995964391899</v>
      </c>
      <c r="S22" s="33">
        <v>129.03795502108801</v>
      </c>
      <c r="T22" s="33">
        <v>128.479943517918</v>
      </c>
      <c r="U22" s="15">
        <v>7.7717046052685405E-4</v>
      </c>
      <c r="V22" s="15">
        <v>3.6330829595138002E-3</v>
      </c>
      <c r="W22" s="15">
        <v>-7.00692515500642E-4</v>
      </c>
      <c r="X22" s="34">
        <v>2.37960392374606</v>
      </c>
      <c r="Y22" s="34">
        <v>2.38188334875188</v>
      </c>
      <c r="Z22" s="34">
        <v>2.3877242360348299</v>
      </c>
      <c r="AA22" s="34">
        <v>2.3789034975037899</v>
      </c>
      <c r="AB22" s="33">
        <v>128.69315733306399</v>
      </c>
      <c r="AC22" s="33">
        <v>129.03795502108801</v>
      </c>
      <c r="AD22" s="33">
        <v>128.479943517918</v>
      </c>
      <c r="AE22" s="15">
        <v>9.5744251722062503E-4</v>
      </c>
      <c r="AF22" s="15">
        <v>3.6330829595138002E-3</v>
      </c>
      <c r="AG22" s="15">
        <v>-7.00692515500642E-4</v>
      </c>
      <c r="AI22" s="26">
        <v>-1E-3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53.53</v>
      </c>
      <c r="C23" s="33">
        <v>127.68</v>
      </c>
      <c r="D23" s="15">
        <v>-9.2972034506844693E-3</v>
      </c>
      <c r="E23" s="15">
        <v>-6.9463693946587501E-3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53.53</v>
      </c>
      <c r="M23" s="33">
        <v>127.68</v>
      </c>
      <c r="N23" s="34">
        <v>2.3852045581916599</v>
      </c>
      <c r="O23" s="34">
        <v>2.3814540004427101</v>
      </c>
      <c r="P23" s="34">
        <v>2.3876168723051201</v>
      </c>
      <c r="Q23" s="34">
        <v>2.3798847302236399</v>
      </c>
      <c r="R23" s="33">
        <v>127.479232643698</v>
      </c>
      <c r="S23" s="33">
        <v>127.814878354944</v>
      </c>
      <c r="T23" s="33">
        <v>127.342704221378</v>
      </c>
      <c r="U23" s="15">
        <v>-1.5736635954989901E-3</v>
      </c>
      <c r="V23" s="15">
        <v>1.0558205185382001E-3</v>
      </c>
      <c r="W23" s="15">
        <v>-2.6452231092832798E-3</v>
      </c>
      <c r="X23" s="34">
        <v>2.3852045581916599</v>
      </c>
      <c r="Y23" s="34">
        <v>2.38188334875188</v>
      </c>
      <c r="Z23" s="34">
        <v>2.3876168723051201</v>
      </c>
      <c r="AA23" s="34">
        <v>2.3798847302236399</v>
      </c>
      <c r="AB23" s="33">
        <v>127.502215658688</v>
      </c>
      <c r="AC23" s="33">
        <v>127.814878354944</v>
      </c>
      <c r="AD23" s="33">
        <v>127.342704221378</v>
      </c>
      <c r="AE23" s="15">
        <v>-1.3933915388050699E-3</v>
      </c>
      <c r="AF23" s="15">
        <v>1.0558205185382001E-3</v>
      </c>
      <c r="AG23" s="15">
        <v>-2.6452231092832798E-3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53.96</v>
      </c>
      <c r="C24" s="33">
        <v>128.71</v>
      </c>
      <c r="D24" s="15">
        <v>8.0007869342651802E-3</v>
      </c>
      <c r="E24" s="15">
        <v>8.0346779597878105E-3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53.96</v>
      </c>
      <c r="M24" s="33">
        <v>128.71</v>
      </c>
      <c r="N24" s="34">
        <v>2.38528539659006</v>
      </c>
      <c r="O24" s="34">
        <v>2.3814540004427101</v>
      </c>
      <c r="P24" s="34">
        <v>2.3870507617583701</v>
      </c>
      <c r="Q24" s="34">
        <v>2.3812411986347</v>
      </c>
      <c r="R24" s="33">
        <v>128.503257863888</v>
      </c>
      <c r="S24" s="33">
        <v>128.83580642958401</v>
      </c>
      <c r="T24" s="33">
        <v>128.41858004286701</v>
      </c>
      <c r="U24" s="15">
        <v>-1.6075546210214499E-3</v>
      </c>
      <c r="V24" s="15">
        <v>9.7696360375718007E-4</v>
      </c>
      <c r="W24" s="15">
        <v>-2.2667264903907299E-3</v>
      </c>
      <c r="X24" s="34">
        <v>2.38528539659006</v>
      </c>
      <c r="Y24" s="34">
        <v>2.38188334875188</v>
      </c>
      <c r="Z24" s="34">
        <v>2.3870507617583701</v>
      </c>
      <c r="AA24" s="34">
        <v>2.3812411986347</v>
      </c>
      <c r="AB24" s="33">
        <v>128.52642549865101</v>
      </c>
      <c r="AC24" s="33">
        <v>128.83580642958401</v>
      </c>
      <c r="AD24" s="33">
        <v>128.41858004286701</v>
      </c>
      <c r="AE24" s="15">
        <v>-1.4272825643276701E-3</v>
      </c>
      <c r="AF24" s="15">
        <v>9.7696360375718007E-4</v>
      </c>
      <c r="AG24" s="15">
        <v>-2.2667264903907299E-3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53.29</v>
      </c>
      <c r="C25" s="33">
        <v>126.95</v>
      </c>
      <c r="D25" s="15">
        <v>-1.2494335030864201E-2</v>
      </c>
      <c r="E25" s="15">
        <v>-1.37685035105989E-2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53.29</v>
      </c>
      <c r="M25" s="33">
        <v>126.95</v>
      </c>
      <c r="N25" s="34">
        <v>2.3822480765621998</v>
      </c>
      <c r="O25" s="34">
        <v>2.3814540004427101</v>
      </c>
      <c r="P25" s="34">
        <v>2.3866396281397302</v>
      </c>
      <c r="Q25" s="34">
        <v>2.3827128903606698</v>
      </c>
      <c r="R25" s="33">
        <v>126.907683683592</v>
      </c>
      <c r="S25" s="33">
        <v>127.205935094103</v>
      </c>
      <c r="T25" s="33">
        <v>126.896343475243</v>
      </c>
      <c r="U25" s="15">
        <v>-3.3338614128685702E-4</v>
      </c>
      <c r="V25" s="15">
        <v>2.01400121165123E-3</v>
      </c>
      <c r="W25" s="15">
        <v>-4.2274806736380098E-4</v>
      </c>
      <c r="X25" s="34">
        <v>2.3822480765621998</v>
      </c>
      <c r="Y25" s="34">
        <v>2.38188334875188</v>
      </c>
      <c r="Z25" s="34">
        <v>2.3866396281397302</v>
      </c>
      <c r="AA25" s="34">
        <v>2.3827128903606698</v>
      </c>
      <c r="AB25" s="33">
        <v>126.930563654987</v>
      </c>
      <c r="AC25" s="33">
        <v>127.205935094103</v>
      </c>
      <c r="AD25" s="33">
        <v>126.896343475243</v>
      </c>
      <c r="AE25" s="15">
        <v>-1.53114084592947E-4</v>
      </c>
      <c r="AF25" s="15">
        <v>2.01400121165123E-3</v>
      </c>
      <c r="AG25" s="15">
        <v>-4.2274806736380098E-4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54.26</v>
      </c>
      <c r="C26" s="33">
        <v>129.63999999999999</v>
      </c>
      <c r="D26" s="15">
        <v>1.8038610922094699E-2</v>
      </c>
      <c r="E26" s="15">
        <v>2.0968070122658899E-2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54.26</v>
      </c>
      <c r="M26" s="33">
        <v>129.63999999999999</v>
      </c>
      <c r="N26" s="34">
        <v>2.38923700700331</v>
      </c>
      <c r="O26" s="34">
        <v>2.3814540004427101</v>
      </c>
      <c r="P26" s="34">
        <v>2.38676551463241</v>
      </c>
      <c r="Q26" s="34">
        <v>2.3842945975981298</v>
      </c>
      <c r="R26" s="33">
        <v>129.217694064021</v>
      </c>
      <c r="S26" s="33">
        <v>129.49906622286201</v>
      </c>
      <c r="T26" s="33">
        <v>129.28600143097</v>
      </c>
      <c r="U26" s="15">
        <v>-3.26284534185105E-3</v>
      </c>
      <c r="V26" s="15">
        <v>-1.0877077940201301E-3</v>
      </c>
      <c r="W26" s="15">
        <v>-2.7343626181712101E-3</v>
      </c>
      <c r="X26" s="34">
        <v>2.38923700700331</v>
      </c>
      <c r="Y26" s="34">
        <v>2.38188334875188</v>
      </c>
      <c r="Z26" s="34">
        <v>2.38676551463241</v>
      </c>
      <c r="AA26" s="34">
        <v>2.3842945975981298</v>
      </c>
      <c r="AB26" s="33">
        <v>129.240990503277</v>
      </c>
      <c r="AC26" s="33">
        <v>129.49906622286201</v>
      </c>
      <c r="AD26" s="33">
        <v>129.28600143097</v>
      </c>
      <c r="AE26" s="15">
        <v>-3.0825732851572098E-3</v>
      </c>
      <c r="AF26" s="15">
        <v>-1.0877077940201301E-3</v>
      </c>
      <c r="AG26" s="15">
        <v>-2.7343626181712101E-3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53.94</v>
      </c>
      <c r="C27" s="33">
        <v>129.16999999999999</v>
      </c>
      <c r="D27" s="15">
        <v>-5.9149895192018099E-3</v>
      </c>
      <c r="E27" s="15">
        <v>-3.6320120294224701E-3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53.94</v>
      </c>
      <c r="M27" s="33">
        <v>129.16999999999999</v>
      </c>
      <c r="N27" s="34">
        <v>2.39469781238413</v>
      </c>
      <c r="O27" s="34">
        <v>2.3814540004427101</v>
      </c>
      <c r="P27" s="34">
        <v>2.3875346780090001</v>
      </c>
      <c r="Q27" s="34">
        <v>2.3859961130154699</v>
      </c>
      <c r="R27" s="33">
        <v>128.45562878388</v>
      </c>
      <c r="S27" s="33">
        <v>128.74213185927201</v>
      </c>
      <c r="T27" s="33">
        <v>128.608850594443</v>
      </c>
      <c r="U27" s="15">
        <v>-5.5458228316304804E-3</v>
      </c>
      <c r="V27" s="15">
        <v>-3.3179403401186998E-3</v>
      </c>
      <c r="W27" s="15">
        <v>-4.3537341457173797E-3</v>
      </c>
      <c r="X27" s="34">
        <v>2.39469781238413</v>
      </c>
      <c r="Y27" s="34">
        <v>2.38188334875188</v>
      </c>
      <c r="Z27" s="34">
        <v>2.3875346780090001</v>
      </c>
      <c r="AA27" s="34">
        <v>2.3859961130154699</v>
      </c>
      <c r="AB27" s="33">
        <v>128.47878783167599</v>
      </c>
      <c r="AC27" s="33">
        <v>128.74213185927201</v>
      </c>
      <c r="AD27" s="33">
        <v>128.608850594443</v>
      </c>
      <c r="AE27" s="15">
        <v>-5.3655507749364399E-3</v>
      </c>
      <c r="AF27" s="15">
        <v>-3.3179403401186998E-3</v>
      </c>
      <c r="AG27" s="15">
        <v>-4.3537341457173797E-3</v>
      </c>
      <c r="AI27" s="12"/>
      <c r="AJ27">
        <f t="shared" si="6"/>
        <v>1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53.55</v>
      </c>
      <c r="C28" s="33">
        <v>127.7</v>
      </c>
      <c r="D28" s="15">
        <v>-7.2565208178261703E-3</v>
      </c>
      <c r="E28" s="15">
        <v>-1.14456032054304E-2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53.55</v>
      </c>
      <c r="M28" s="33">
        <v>127.7</v>
      </c>
      <c r="N28" s="34">
        <v>2.3846872082166199</v>
      </c>
      <c r="O28" s="34">
        <v>2.3814540004427101</v>
      </c>
      <c r="P28" s="34">
        <v>2.3867203799627399</v>
      </c>
      <c r="Q28" s="34">
        <v>2.3867009020752499</v>
      </c>
      <c r="R28" s="33">
        <v>127.526861723707</v>
      </c>
      <c r="S28" s="33">
        <v>127.85248200738199</v>
      </c>
      <c r="T28" s="33">
        <v>127.77009185197799</v>
      </c>
      <c r="U28" s="15">
        <v>-1.3567404440261699E-3</v>
      </c>
      <c r="V28" s="15">
        <v>1.1933519430548699E-3</v>
      </c>
      <c r="W28" s="15">
        <v>5.4872844981196205E-4</v>
      </c>
      <c r="X28" s="34">
        <v>2.3846872082166199</v>
      </c>
      <c r="Y28" s="34">
        <v>2.38188334875188</v>
      </c>
      <c r="Z28" s="34">
        <v>2.3867203799627399</v>
      </c>
      <c r="AA28" s="34">
        <v>2.3867009020752499</v>
      </c>
      <c r="AB28" s="33">
        <v>127.54985332566299</v>
      </c>
      <c r="AC28" s="33">
        <v>127.85248200738199</v>
      </c>
      <c r="AD28" s="33">
        <v>127.77009185197799</v>
      </c>
      <c r="AE28" s="15">
        <v>-1.17646838733226E-3</v>
      </c>
      <c r="AF28" s="15">
        <v>1.1933519430548699E-3</v>
      </c>
      <c r="AG28" s="15">
        <v>5.4872844981196205E-4</v>
      </c>
      <c r="AI28" s="12"/>
      <c r="AJ28">
        <f t="shared" si="6"/>
        <v>0</v>
      </c>
      <c r="AK28">
        <f t="shared" si="7"/>
        <v>1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-7.2565208178261703E-3</v>
      </c>
      <c r="AP28" s="28">
        <f t="shared" si="9"/>
        <v>1.14456032054304E-2</v>
      </c>
      <c r="AQ28" s="28">
        <f t="shared" si="16"/>
        <v>4.1890823876042302E-3</v>
      </c>
      <c r="AR28" s="29">
        <f t="shared" si="17"/>
        <v>4.1890823876042302E-3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4.1890823876042302E-3</v>
      </c>
      <c r="BF28" s="29">
        <f t="shared" si="23"/>
        <v>4.1890823876042302E-3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52.74</v>
      </c>
      <c r="C29" s="33">
        <v>125.66</v>
      </c>
      <c r="D29" s="15">
        <v>-1.5241615968616999E-2</v>
      </c>
      <c r="E29" s="15">
        <v>-1.61039160636927E-2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52.74</v>
      </c>
      <c r="M29" s="33">
        <v>125.66</v>
      </c>
      <c r="N29" s="34">
        <v>2.3826317785362101</v>
      </c>
      <c r="O29" s="34">
        <v>2.3814540004427101</v>
      </c>
      <c r="P29" s="34">
        <v>2.3858252260556498</v>
      </c>
      <c r="Q29" s="34">
        <v>2.38674711390451</v>
      </c>
      <c r="R29" s="33">
        <v>125.597883983348</v>
      </c>
      <c r="S29" s="33">
        <v>125.875632839235</v>
      </c>
      <c r="T29" s="33">
        <v>125.874605575448</v>
      </c>
      <c r="U29" s="15">
        <v>-4.9444034895053705E-4</v>
      </c>
      <c r="V29" s="15">
        <v>1.7145315725202899E-3</v>
      </c>
      <c r="W29" s="15">
        <v>1.7063705968416399E-3</v>
      </c>
      <c r="X29" s="34">
        <v>2.3826317785362101</v>
      </c>
      <c r="Y29" s="34">
        <v>2.38188334875188</v>
      </c>
      <c r="Z29" s="34">
        <v>2.3858252260556498</v>
      </c>
      <c r="AA29" s="34">
        <v>2.38674711390451</v>
      </c>
      <c r="AB29" s="33">
        <v>125.62052781317399</v>
      </c>
      <c r="AC29" s="33">
        <v>125.875632839235</v>
      </c>
      <c r="AD29" s="33">
        <v>125.874605575448</v>
      </c>
      <c r="AE29" s="15">
        <v>-3.1416829225658799E-4</v>
      </c>
      <c r="AF29" s="15">
        <v>1.7145315725202899E-3</v>
      </c>
      <c r="AG29" s="15">
        <v>1.7063705968416399E-3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4.1890823876042302E-3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4.1890823876042302E-3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51.69</v>
      </c>
      <c r="C30" s="33">
        <v>123.32</v>
      </c>
      <c r="D30" s="15">
        <v>-2.0109841717192701E-2</v>
      </c>
      <c r="E30" s="15">
        <v>-1.8797243956851398E-2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51.69</v>
      </c>
      <c r="M30" s="33">
        <v>123.32</v>
      </c>
      <c r="N30" s="34">
        <v>2.38576126910427</v>
      </c>
      <c r="O30" s="34">
        <v>2.3814540004427101</v>
      </c>
      <c r="P30" s="34">
        <v>2.38589528387178</v>
      </c>
      <c r="Q30" s="34">
        <v>2.38693083756286</v>
      </c>
      <c r="R30" s="33">
        <v>123.097357282883</v>
      </c>
      <c r="S30" s="33">
        <v>123.32330593481601</v>
      </c>
      <c r="T30" s="33">
        <v>123.370958317724</v>
      </c>
      <c r="U30" s="15">
        <v>-1.80703810929197E-3</v>
      </c>
      <c r="V30" s="15">
        <v>2.68074157096326E-5</v>
      </c>
      <c r="W30" s="15">
        <v>4.1313486960939898E-4</v>
      </c>
      <c r="X30" s="34">
        <v>2.38576126910427</v>
      </c>
      <c r="Y30" s="34">
        <v>2.38188334875188</v>
      </c>
      <c r="Z30" s="34">
        <v>2.38589528387178</v>
      </c>
      <c r="AA30" s="34">
        <v>2.38693083756286</v>
      </c>
      <c r="AB30" s="33">
        <v>123.119550296984</v>
      </c>
      <c r="AC30" s="33">
        <v>123.32330593481601</v>
      </c>
      <c r="AD30" s="33">
        <v>123.370958317724</v>
      </c>
      <c r="AE30" s="15">
        <v>-1.62676605259797E-3</v>
      </c>
      <c r="AF30" s="15">
        <v>2.68074157096326E-5</v>
      </c>
      <c r="AG30" s="15">
        <v>4.1313486960939898E-4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4.1890823876042302E-3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4.1890823876042302E-3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51.65</v>
      </c>
      <c r="C31" s="33">
        <v>123.83</v>
      </c>
      <c r="D31" s="15">
        <v>-7.7414364230038598E-4</v>
      </c>
      <c r="E31" s="15">
        <v>4.1270542090576399E-3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51.65</v>
      </c>
      <c r="M31" s="33">
        <v>123.83</v>
      </c>
      <c r="N31" s="34">
        <v>2.3974830590513001</v>
      </c>
      <c r="O31" s="34">
        <v>2.3814540004427101</v>
      </c>
      <c r="P31" s="34">
        <v>2.3866840089385799</v>
      </c>
      <c r="Q31" s="34">
        <v>2.38747447736479</v>
      </c>
      <c r="R31" s="33">
        <v>123.002099122866</v>
      </c>
      <c r="S31" s="33">
        <v>123.231491411977</v>
      </c>
      <c r="T31" s="33">
        <v>123.284977760122</v>
      </c>
      <c r="U31" s="15">
        <v>-6.7082359606499397E-3</v>
      </c>
      <c r="V31" s="15">
        <v>-4.8450266805908897E-3</v>
      </c>
      <c r="W31" s="15">
        <v>-4.4110893524793304E-3</v>
      </c>
      <c r="X31" s="34">
        <v>2.3974830590513001</v>
      </c>
      <c r="Y31" s="34">
        <v>2.38188334875188</v>
      </c>
      <c r="Z31" s="34">
        <v>2.3866840089385799</v>
      </c>
      <c r="AA31" s="34">
        <v>2.38747447736479</v>
      </c>
      <c r="AB31" s="33">
        <v>123.024274963034</v>
      </c>
      <c r="AC31" s="33">
        <v>123.231491411977</v>
      </c>
      <c r="AD31" s="33">
        <v>123.284977760122</v>
      </c>
      <c r="AE31" s="15">
        <v>-6.5279639039560198E-3</v>
      </c>
      <c r="AF31" s="15">
        <v>-4.8450266805908897E-3</v>
      </c>
      <c r="AG31" s="15">
        <v>-4.4110893524793304E-3</v>
      </c>
      <c r="AI31" s="12"/>
      <c r="AJ31">
        <f t="shared" si="6"/>
        <v>1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4.1890823876042302E-3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4.1890823876042302E-3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52.2</v>
      </c>
      <c r="C32" s="33">
        <v>124.84</v>
      </c>
      <c r="D32" s="15">
        <v>1.05922993229455E-2</v>
      </c>
      <c r="E32" s="15">
        <v>8.1232601755714205E-3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52.2</v>
      </c>
      <c r="M32" s="33">
        <v>124.84</v>
      </c>
      <c r="N32" s="34">
        <v>2.3915708812260501</v>
      </c>
      <c r="O32" s="34">
        <v>2.3814540004427101</v>
      </c>
      <c r="P32" s="34">
        <v>2.3878807046865802</v>
      </c>
      <c r="Q32" s="34">
        <v>2.3878024703606999</v>
      </c>
      <c r="R32" s="33">
        <v>124.311898823109</v>
      </c>
      <c r="S32" s="33">
        <v>124.58490526659401</v>
      </c>
      <c r="T32" s="33">
        <v>124.62616771844201</v>
      </c>
      <c r="U32" s="15">
        <v>-4.2391968132759099E-3</v>
      </c>
      <c r="V32" s="15">
        <v>-2.0454639208898999E-3</v>
      </c>
      <c r="W32" s="15">
        <v>-1.71431930736155E-3</v>
      </c>
      <c r="X32" s="34">
        <v>2.3915708812260501</v>
      </c>
      <c r="Y32" s="34">
        <v>2.38188334875188</v>
      </c>
      <c r="Z32" s="34">
        <v>2.3878807046865802</v>
      </c>
      <c r="AA32" s="34">
        <v>2.3878024703606999</v>
      </c>
      <c r="AB32" s="33">
        <v>124.334310804848</v>
      </c>
      <c r="AC32" s="33">
        <v>124.58490526659401</v>
      </c>
      <c r="AD32" s="33">
        <v>124.62616771844201</v>
      </c>
      <c r="AE32" s="15">
        <v>-4.05892475658197E-3</v>
      </c>
      <c r="AF32" s="15">
        <v>-2.0454639208898999E-3</v>
      </c>
      <c r="AG32" s="15">
        <v>-1.71431930736155E-3</v>
      </c>
      <c r="AI32" s="12"/>
      <c r="AJ32">
        <f t="shared" si="6"/>
        <v>0</v>
      </c>
      <c r="AK32">
        <f t="shared" si="7"/>
        <v>0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1.05922993229455E-2</v>
      </c>
      <c r="AP32" s="28">
        <f t="shared" si="9"/>
        <v>-8.1232601755714205E-3</v>
      </c>
      <c r="AQ32" s="28">
        <f t="shared" si="16"/>
        <v>2.4690391473740792E-3</v>
      </c>
      <c r="AR32" s="29">
        <f t="shared" si="17"/>
        <v>6.6581215349783094E-3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2.4690391473740792E-3</v>
      </c>
      <c r="BF32" s="29">
        <f t="shared" si="23"/>
        <v>6.6581215349783094E-3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52.59</v>
      </c>
      <c r="C33" s="33">
        <v>125.8</v>
      </c>
      <c r="D33" s="15">
        <v>7.4434927126597796E-3</v>
      </c>
      <c r="E33" s="15">
        <v>7.6604268637613304E-3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52.59</v>
      </c>
      <c r="M33" s="33">
        <v>125.8</v>
      </c>
      <c r="N33" s="34">
        <v>2.3920897509032102</v>
      </c>
      <c r="O33" s="34">
        <v>2.3814540004427101</v>
      </c>
      <c r="P33" s="34">
        <v>2.3885692239577399</v>
      </c>
      <c r="Q33" s="34">
        <v>2.38809304813143</v>
      </c>
      <c r="R33" s="33">
        <v>125.24066588328201</v>
      </c>
      <c r="S33" s="33">
        <v>125.57864625946701</v>
      </c>
      <c r="T33" s="33">
        <v>125.574531916269</v>
      </c>
      <c r="U33" s="15">
        <v>-4.4561309643775596E-3</v>
      </c>
      <c r="V33" s="15">
        <v>-1.7611185439781101E-3</v>
      </c>
      <c r="W33" s="15">
        <v>-1.7938821604146201E-3</v>
      </c>
      <c r="X33" s="34">
        <v>2.3920897509032102</v>
      </c>
      <c r="Y33" s="34">
        <v>2.38188334875188</v>
      </c>
      <c r="Z33" s="34">
        <v>2.3885692239577399</v>
      </c>
      <c r="AA33" s="34">
        <v>2.38809304813143</v>
      </c>
      <c r="AB33" s="33">
        <v>125.263245310861</v>
      </c>
      <c r="AC33" s="33">
        <v>125.57864625946701</v>
      </c>
      <c r="AD33" s="33">
        <v>125.574531916269</v>
      </c>
      <c r="AE33" s="15">
        <v>-4.2758589076835598E-3</v>
      </c>
      <c r="AF33" s="15">
        <v>-1.7611185439781101E-3</v>
      </c>
      <c r="AG33" s="15">
        <v>-1.7938821604146201E-3</v>
      </c>
      <c r="AI33" s="12"/>
      <c r="AJ33">
        <f t="shared" si="6"/>
        <v>0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7.4434927126597796E-3</v>
      </c>
      <c r="AP33" s="28">
        <f t="shared" si="9"/>
        <v>-7.6604268637613304E-3</v>
      </c>
      <c r="AQ33" s="28">
        <f t="shared" si="16"/>
        <v>-2.1693415110155077E-4</v>
      </c>
      <c r="AR33" s="29">
        <f t="shared" si="17"/>
        <v>6.4411873838767586E-3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-2.1693415110155077E-4</v>
      </c>
      <c r="BF33" s="29">
        <f t="shared" si="23"/>
        <v>6.4411873838767586E-3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52.15</v>
      </c>
      <c r="C34" s="33">
        <v>124.76</v>
      </c>
      <c r="D34" s="15">
        <v>-8.4018061544714803E-3</v>
      </c>
      <c r="E34" s="15">
        <v>-8.3014525267375606E-3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52.15</v>
      </c>
      <c r="M34" s="33">
        <v>124.76</v>
      </c>
      <c r="N34" s="34">
        <v>2.3923298178331698</v>
      </c>
      <c r="O34" s="34">
        <v>2.3814540004427101</v>
      </c>
      <c r="P34" s="34">
        <v>2.3892736660820502</v>
      </c>
      <c r="Q34" s="34">
        <v>2.3881622139202099</v>
      </c>
      <c r="R34" s="33">
        <v>124.192826123087</v>
      </c>
      <c r="S34" s="33">
        <v>124.563885029396</v>
      </c>
      <c r="T34" s="33">
        <v>124.53905246005399</v>
      </c>
      <c r="U34" s="15">
        <v>-4.5564845921114601E-3</v>
      </c>
      <c r="V34" s="15">
        <v>-1.57317467620453E-3</v>
      </c>
      <c r="W34" s="15">
        <v>-1.7725506424169301E-3</v>
      </c>
      <c r="X34" s="34">
        <v>2.3923298178331698</v>
      </c>
      <c r="Y34" s="34">
        <v>2.38188334875188</v>
      </c>
      <c r="Z34" s="34">
        <v>2.3892736660820502</v>
      </c>
      <c r="AA34" s="34">
        <v>2.3881622139202099</v>
      </c>
      <c r="AB34" s="33">
        <v>124.21521663740999</v>
      </c>
      <c r="AC34" s="33">
        <v>124.563885029396</v>
      </c>
      <c r="AD34" s="33">
        <v>124.53905246005399</v>
      </c>
      <c r="AE34" s="15">
        <v>-4.3762125354173398E-3</v>
      </c>
      <c r="AF34" s="15">
        <v>-1.57317467620453E-3</v>
      </c>
      <c r="AG34" s="15">
        <v>-1.7725506424169301E-3</v>
      </c>
      <c r="AI34" s="12"/>
      <c r="AJ34">
        <f t="shared" si="6"/>
        <v>0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-8.4018061544714803E-3</v>
      </c>
      <c r="AP34" s="28">
        <f t="shared" si="9"/>
        <v>8.3014525267375606E-3</v>
      </c>
      <c r="AQ34" s="28">
        <f t="shared" si="16"/>
        <v>-1.0035362773391961E-4</v>
      </c>
      <c r="AR34" s="29">
        <f t="shared" si="17"/>
        <v>6.340833756142839E-3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-1.0035362773391961E-4</v>
      </c>
      <c r="BF34" s="29">
        <f t="shared" si="23"/>
        <v>6.340833756142839E-3</v>
      </c>
      <c r="BH34" s="29"/>
    </row>
    <row r="35" spans="1:124" x14ac:dyDescent="0.25">
      <c r="A35" s="1">
        <v>46073</v>
      </c>
      <c r="B35" s="33">
        <v>52.49</v>
      </c>
      <c r="C35" s="33">
        <v>125.34</v>
      </c>
      <c r="D35" s="15">
        <v>6.4984938174269596E-3</v>
      </c>
      <c r="E35" s="15">
        <v>4.63815305692697E-3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52.49</v>
      </c>
      <c r="M35" s="33">
        <v>125.34</v>
      </c>
      <c r="N35" s="34">
        <v>2.3878834063631098</v>
      </c>
      <c r="O35" s="34">
        <v>2.3814540004427101</v>
      </c>
      <c r="P35" s="34">
        <v>2.3898371990621401</v>
      </c>
      <c r="Q35" s="34">
        <v>2.3882384136009298</v>
      </c>
      <c r="R35" s="33">
        <v>125.002520483238</v>
      </c>
      <c r="S35" s="33">
        <v>125.41297473264601</v>
      </c>
      <c r="T35" s="33">
        <v>125.35463460867101</v>
      </c>
      <c r="U35" s="15">
        <v>-2.6961438316112801E-3</v>
      </c>
      <c r="V35" s="15">
        <v>5.8204481749301196E-4</v>
      </c>
      <c r="W35" s="15">
        <v>1.16752468287791E-4</v>
      </c>
      <c r="X35" s="34">
        <v>2.3878834063631098</v>
      </c>
      <c r="Y35" s="34">
        <v>2.38188334875188</v>
      </c>
      <c r="Z35" s="34">
        <v>2.3898371990621401</v>
      </c>
      <c r="AA35" s="34">
        <v>2.3882384136009298</v>
      </c>
      <c r="AB35" s="33">
        <v>125.025056975986</v>
      </c>
      <c r="AC35" s="33">
        <v>125.41297473264601</v>
      </c>
      <c r="AD35" s="33">
        <v>125.35463460867101</v>
      </c>
      <c r="AE35" s="15">
        <v>-2.5158717749173801E-3</v>
      </c>
      <c r="AF35" s="15">
        <v>5.8204481749301196E-4</v>
      </c>
      <c r="AG35" s="15">
        <v>1.16752468287791E-4</v>
      </c>
      <c r="AI35" s="12"/>
      <c r="AJ35">
        <f t="shared" si="6"/>
        <v>0</v>
      </c>
      <c r="AK35">
        <f t="shared" si="7"/>
        <v>1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6.4984938174269596E-3</v>
      </c>
      <c r="AP35" s="28">
        <f t="shared" si="9"/>
        <v>-4.63815305692697E-3</v>
      </c>
      <c r="AQ35" s="28">
        <f t="shared" si="16"/>
        <v>1.8603407604999896E-3</v>
      </c>
      <c r="AR35" s="29">
        <f t="shared" si="17"/>
        <v>8.2011745166428278E-3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1.8603407604999896E-3</v>
      </c>
      <c r="BF35" s="29">
        <f t="shared" si="23"/>
        <v>8.2011745166428278E-3</v>
      </c>
      <c r="BH35" s="29"/>
    </row>
    <row r="36" spans="1:124" x14ac:dyDescent="0.25">
      <c r="A36" s="1">
        <v>46076</v>
      </c>
      <c r="B36" s="33">
        <v>50.73</v>
      </c>
      <c r="C36" s="33">
        <v>121.67</v>
      </c>
      <c r="D36" s="15">
        <v>-3.4105223685609802E-2</v>
      </c>
      <c r="E36" s="15">
        <v>-2.9717582997171699E-2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50.73</v>
      </c>
      <c r="M36" s="33">
        <v>121.67</v>
      </c>
      <c r="N36" s="34">
        <v>2.3983835994480498</v>
      </c>
      <c r="O36" s="34">
        <v>2.3814540004427101</v>
      </c>
      <c r="P36" s="34">
        <v>2.3907518583066101</v>
      </c>
      <c r="Q36" s="34">
        <v>2.3887586864695098</v>
      </c>
      <c r="R36" s="33">
        <v>120.811161442458</v>
      </c>
      <c r="S36" s="33">
        <v>121.236441108422</v>
      </c>
      <c r="T36" s="33">
        <v>121.155334721975</v>
      </c>
      <c r="U36" s="15">
        <v>-7.0837845200494402E-3</v>
      </c>
      <c r="V36" s="15">
        <v>-3.56976414466622E-3</v>
      </c>
      <c r="W36" s="15">
        <v>-4.2389814825558097E-3</v>
      </c>
      <c r="X36" s="34">
        <v>2.3983835994480498</v>
      </c>
      <c r="Y36" s="34">
        <v>2.38188334875188</v>
      </c>
      <c r="Z36" s="34">
        <v>2.3907518583066101</v>
      </c>
      <c r="AA36" s="34">
        <v>2.3887586864695098</v>
      </c>
      <c r="AB36" s="33">
        <v>120.832942282183</v>
      </c>
      <c r="AC36" s="33">
        <v>121.236441108422</v>
      </c>
      <c r="AD36" s="33">
        <v>121.155334721975</v>
      </c>
      <c r="AE36" s="15">
        <v>-6.9035124633555298E-3</v>
      </c>
      <c r="AF36" s="15">
        <v>-3.56976414466622E-3</v>
      </c>
      <c r="AG36" s="15">
        <v>-4.2389814825558097E-3</v>
      </c>
      <c r="AI36" s="12"/>
      <c r="AJ36">
        <f t="shared" si="6"/>
        <v>1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8.2011745166428278E-3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8.2011745166428278E-3</v>
      </c>
      <c r="BH36" s="29"/>
    </row>
    <row r="37" spans="1:124" x14ac:dyDescent="0.25">
      <c r="A37" s="1">
        <v>46077</v>
      </c>
      <c r="B37" s="33">
        <v>50.98</v>
      </c>
      <c r="C37" s="33">
        <v>122.35</v>
      </c>
      <c r="D37" s="15">
        <v>4.91594736937076E-3</v>
      </c>
      <c r="E37" s="15">
        <v>5.5733280893228701E-3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50.98</v>
      </c>
      <c r="M37" s="33">
        <v>122.35</v>
      </c>
      <c r="N37" s="34">
        <v>2.3999607689289899</v>
      </c>
      <c r="O37" s="34">
        <v>2.3814540004427101</v>
      </c>
      <c r="P37" s="34">
        <v>2.3912781539611001</v>
      </c>
      <c r="Q37" s="34">
        <v>2.3894064159850501</v>
      </c>
      <c r="R37" s="33">
        <v>121.40652494256901</v>
      </c>
      <c r="S37" s="33">
        <v>121.880529736471</v>
      </c>
      <c r="T37" s="33">
        <v>121.778917836215</v>
      </c>
      <c r="U37" s="15">
        <v>-7.7411652400015503E-3</v>
      </c>
      <c r="V37" s="15">
        <v>-3.84448940326889E-3</v>
      </c>
      <c r="W37" s="15">
        <v>-4.6785379670161798E-3</v>
      </c>
      <c r="X37" s="34">
        <v>2.3999607689289899</v>
      </c>
      <c r="Y37" s="34">
        <v>2.38188334875188</v>
      </c>
      <c r="Z37" s="34">
        <v>2.3912781539611001</v>
      </c>
      <c r="AA37" s="34">
        <v>2.3894064159850501</v>
      </c>
      <c r="AB37" s="33">
        <v>121.428413119371</v>
      </c>
      <c r="AC37" s="33">
        <v>121.880529736471</v>
      </c>
      <c r="AD37" s="33">
        <v>121.778917836215</v>
      </c>
      <c r="AE37" s="15">
        <v>-7.56089318330758E-3</v>
      </c>
      <c r="AF37" s="15">
        <v>-3.84448940326889E-3</v>
      </c>
      <c r="AG37" s="15">
        <v>-4.6785379670161798E-3</v>
      </c>
      <c r="AI37" s="12"/>
      <c r="AJ37">
        <f t="shared" si="6"/>
        <v>1</v>
      </c>
      <c r="AK37">
        <f t="shared" si="7"/>
        <v>0</v>
      </c>
      <c r="AL37">
        <f t="shared" si="14"/>
        <v>1</v>
      </c>
      <c r="AM37">
        <f t="shared" si="4"/>
        <v>1</v>
      </c>
      <c r="AN37">
        <f t="shared" si="15"/>
        <v>1</v>
      </c>
      <c r="AO37" s="28">
        <f t="shared" si="8"/>
        <v>4.91594736937076E-3</v>
      </c>
      <c r="AP37" s="28">
        <f t="shared" si="9"/>
        <v>-5.5733280893228701E-3</v>
      </c>
      <c r="AQ37" s="28">
        <f t="shared" si="16"/>
        <v>-6.5738071995211003E-4</v>
      </c>
      <c r="AR37" s="29">
        <f t="shared" si="17"/>
        <v>7.5437937966907178E-3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-6.5738071995211003E-4</v>
      </c>
      <c r="BF37" s="29">
        <f t="shared" si="23"/>
        <v>7.5437937966907178E-3</v>
      </c>
      <c r="BH37" s="29"/>
    </row>
    <row r="38" spans="1:124" x14ac:dyDescent="0.25">
      <c r="A38" s="1">
        <v>46078</v>
      </c>
      <c r="B38" s="33">
        <v>51.87</v>
      </c>
      <c r="C38" s="33">
        <v>124.17</v>
      </c>
      <c r="D38" s="15">
        <v>1.73071894153395E-2</v>
      </c>
      <c r="E38" s="15">
        <v>1.4765804540070201E-2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51.87</v>
      </c>
      <c r="M38" s="33">
        <v>124.17</v>
      </c>
      <c r="N38" s="34">
        <v>2.3938692886061301</v>
      </c>
      <c r="O38" s="34">
        <v>2.3814540004427101</v>
      </c>
      <c r="P38" s="34">
        <v>2.3921963620000501</v>
      </c>
      <c r="Q38" s="34">
        <v>2.3894583709813899</v>
      </c>
      <c r="R38" s="33">
        <v>123.526019002963</v>
      </c>
      <c r="S38" s="33">
        <v>124.035597845962</v>
      </c>
      <c r="T38" s="33">
        <v>123.938510797144</v>
      </c>
      <c r="U38" s="15">
        <v>-5.1997803647322698E-3</v>
      </c>
      <c r="V38" s="15">
        <v>-1.0829906201984599E-3</v>
      </c>
      <c r="W38" s="15">
        <v>-1.86603248138018E-3</v>
      </c>
      <c r="X38" s="34">
        <v>2.3938692886061301</v>
      </c>
      <c r="Y38" s="34">
        <v>2.38188334875188</v>
      </c>
      <c r="Z38" s="34">
        <v>2.3921963620000501</v>
      </c>
      <c r="AA38" s="34">
        <v>2.3894583709813899</v>
      </c>
      <c r="AB38" s="33">
        <v>123.54828929976</v>
      </c>
      <c r="AC38" s="33">
        <v>124.035597845962</v>
      </c>
      <c r="AD38" s="33">
        <v>123.938510797144</v>
      </c>
      <c r="AE38" s="15">
        <v>-5.01950830803829E-3</v>
      </c>
      <c r="AF38" s="15">
        <v>-1.0829906201984599E-3</v>
      </c>
      <c r="AG38" s="15">
        <v>-1.86603248138018E-3</v>
      </c>
      <c r="AI38" s="12"/>
      <c r="AJ38">
        <f t="shared" si="6"/>
        <v>0</v>
      </c>
      <c r="AK38">
        <f t="shared" si="7"/>
        <v>0</v>
      </c>
      <c r="AL38">
        <f t="shared" si="14"/>
        <v>1</v>
      </c>
      <c r="AM38">
        <f t="shared" si="4"/>
        <v>1</v>
      </c>
      <c r="AN38">
        <f t="shared" si="15"/>
        <v>1</v>
      </c>
      <c r="AO38" s="28">
        <f t="shared" si="8"/>
        <v>1.73071894153395E-2</v>
      </c>
      <c r="AP38" s="28">
        <f t="shared" si="9"/>
        <v>-1.4765804540070201E-2</v>
      </c>
      <c r="AQ38" s="28">
        <f t="shared" si="16"/>
        <v>2.5413848752692987E-3</v>
      </c>
      <c r="AR38" s="29">
        <f t="shared" si="17"/>
        <v>1.0085178671960016E-2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2.5413848752692987E-3</v>
      </c>
      <c r="BF38" s="29">
        <f t="shared" si="23"/>
        <v>1.0085178671960016E-2</v>
      </c>
      <c r="BH38" s="29"/>
    </row>
    <row r="39" spans="1:124" x14ac:dyDescent="0.25">
      <c r="A39" s="1">
        <v>46079</v>
      </c>
      <c r="B39" s="33">
        <v>52.5</v>
      </c>
      <c r="C39" s="33">
        <v>125.66</v>
      </c>
      <c r="D39" s="15">
        <v>1.20725812342692E-2</v>
      </c>
      <c r="E39" s="15">
        <v>1.19282525460501E-2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52.5</v>
      </c>
      <c r="M39" s="33">
        <v>125.66</v>
      </c>
      <c r="N39" s="34">
        <v>2.3935238095238001</v>
      </c>
      <c r="O39" s="34">
        <v>2.3814540004427101</v>
      </c>
      <c r="P39" s="34">
        <v>2.3932855650988101</v>
      </c>
      <c r="Q39" s="34">
        <v>2.3895553955772302</v>
      </c>
      <c r="R39" s="33">
        <v>125.026335023242</v>
      </c>
      <c r="S39" s="33">
        <v>125.590309005002</v>
      </c>
      <c r="T39" s="33">
        <v>125.44656447652299</v>
      </c>
      <c r="U39" s="15">
        <v>-5.0554516765131804E-3</v>
      </c>
      <c r="V39" s="15">
        <v>-5.5475352098440596E-4</v>
      </c>
      <c r="W39" s="15">
        <v>-1.6999601370155299E-3</v>
      </c>
      <c r="X39" s="34">
        <v>2.3935238095238001</v>
      </c>
      <c r="Y39" s="34">
        <v>2.38188334875188</v>
      </c>
      <c r="Z39" s="34">
        <v>2.3932855650988101</v>
      </c>
      <c r="AA39" s="34">
        <v>2.3895553955772302</v>
      </c>
      <c r="AB39" s="33">
        <v>125.048875809474</v>
      </c>
      <c r="AC39" s="33">
        <v>125.590309005002</v>
      </c>
      <c r="AD39" s="33">
        <v>125.44656447652299</v>
      </c>
      <c r="AE39" s="15">
        <v>-4.8751796198192197E-3</v>
      </c>
      <c r="AF39" s="15">
        <v>-5.5475352098440596E-4</v>
      </c>
      <c r="AG39" s="15">
        <v>-1.6999601370155299E-3</v>
      </c>
      <c r="AI39" s="12"/>
      <c r="AJ39">
        <f t="shared" si="6"/>
        <v>0</v>
      </c>
      <c r="AK39">
        <f t="shared" si="7"/>
        <v>0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1.20725812342692E-2</v>
      </c>
      <c r="AP39" s="28">
        <f t="shared" si="9"/>
        <v>-1.19282525460501E-2</v>
      </c>
      <c r="AQ39" s="28">
        <f t="shared" si="16"/>
        <v>1.4432868821910062E-4</v>
      </c>
      <c r="AR39" s="29">
        <f t="shared" si="17"/>
        <v>1.0229507360179116E-2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1.4432868821910062E-4</v>
      </c>
      <c r="BF39" s="29">
        <f t="shared" si="23"/>
        <v>1.0229507360179116E-2</v>
      </c>
      <c r="BH39" s="29"/>
    </row>
    <row r="40" spans="1:124" x14ac:dyDescent="0.25">
      <c r="A40" s="1">
        <v>46080</v>
      </c>
      <c r="B40" s="33">
        <v>51.43</v>
      </c>
      <c r="C40" s="33">
        <v>122.61</v>
      </c>
      <c r="D40" s="15">
        <v>-2.0591509810753202E-2</v>
      </c>
      <c r="E40" s="15">
        <v>-2.45712607305053E-2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51.43</v>
      </c>
      <c r="M40" s="33">
        <v>122.61</v>
      </c>
      <c r="N40" s="34">
        <v>2.3840171106358099</v>
      </c>
      <c r="O40" s="34">
        <v>2.3814540004427101</v>
      </c>
      <c r="P40" s="34">
        <v>2.3931111492519599</v>
      </c>
      <c r="Q40" s="34">
        <v>2.3895032165618701</v>
      </c>
      <c r="R40" s="33">
        <v>122.47817924276799</v>
      </c>
      <c r="S40" s="33">
        <v>123.086676613031</v>
      </c>
      <c r="T40" s="33">
        <v>122.894833994537</v>
      </c>
      <c r="U40" s="15">
        <v>-1.0757007567610999E-3</v>
      </c>
      <c r="V40" s="15">
        <v>3.88020886300908E-3</v>
      </c>
      <c r="W40" s="15">
        <v>2.32039522565644E-3</v>
      </c>
      <c r="X40" s="34">
        <v>2.3840171106358099</v>
      </c>
      <c r="Y40" s="34">
        <v>2.38188334875188</v>
      </c>
      <c r="Z40" s="34">
        <v>2.3931111492519599</v>
      </c>
      <c r="AA40" s="34">
        <v>2.3895032165618701</v>
      </c>
      <c r="AB40" s="33">
        <v>122.500260626309</v>
      </c>
      <c r="AC40" s="33">
        <v>123.086676613031</v>
      </c>
      <c r="AD40" s="33">
        <v>122.894833994537</v>
      </c>
      <c r="AE40" s="15">
        <v>-8.9542870006711103E-4</v>
      </c>
      <c r="AF40" s="15">
        <v>3.88020886300908E-3</v>
      </c>
      <c r="AG40" s="15">
        <v>2.32039522565644E-3</v>
      </c>
      <c r="AI40" s="12"/>
      <c r="AJ40">
        <f t="shared" si="6"/>
        <v>0</v>
      </c>
      <c r="AK40">
        <f t="shared" si="7"/>
        <v>1</v>
      </c>
      <c r="AL40">
        <f t="shared" si="14"/>
        <v>1</v>
      </c>
      <c r="AM40">
        <f t="shared" si="4"/>
        <v>1</v>
      </c>
      <c r="AN40">
        <f t="shared" si="15"/>
        <v>1</v>
      </c>
      <c r="AO40" s="28">
        <f t="shared" si="8"/>
        <v>-2.0591509810753202E-2</v>
      </c>
      <c r="AP40" s="28">
        <f t="shared" si="9"/>
        <v>2.45712607305053E-2</v>
      </c>
      <c r="AQ40" s="28">
        <f t="shared" si="16"/>
        <v>3.979750919752098E-3</v>
      </c>
      <c r="AR40" s="29">
        <f t="shared" si="17"/>
        <v>1.4209258279931214E-2</v>
      </c>
      <c r="AT40" s="12"/>
      <c r="AU40">
        <f t="shared" si="10"/>
        <v>0</v>
      </c>
      <c r="AV40">
        <f t="shared" si="11"/>
        <v>0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3.979750919752098E-3</v>
      </c>
      <c r="BF40" s="29">
        <f t="shared" si="23"/>
        <v>1.4209258279931214E-2</v>
      </c>
      <c r="BH40" s="29"/>
    </row>
    <row r="41" spans="1:124" x14ac:dyDescent="0.25">
      <c r="A41" s="1">
        <v>46083</v>
      </c>
      <c r="B41" s="33">
        <v>51.3</v>
      </c>
      <c r="C41" s="33">
        <v>122.54</v>
      </c>
      <c r="D41" s="15">
        <v>-2.5309076101010099E-3</v>
      </c>
      <c r="E41" s="15">
        <v>-5.7107894678706502E-4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51.3</v>
      </c>
      <c r="M41" s="33">
        <v>122.54</v>
      </c>
      <c r="N41" s="34">
        <v>2.3886939571150099</v>
      </c>
      <c r="O41" s="34">
        <v>2.3814540004427101</v>
      </c>
      <c r="P41" s="34">
        <v>2.3922322390583299</v>
      </c>
      <c r="Q41" s="34">
        <v>2.3894581239984598</v>
      </c>
      <c r="R41" s="33">
        <v>122.168590222711</v>
      </c>
      <c r="S41" s="33">
        <v>122.766601956625</v>
      </c>
      <c r="T41" s="33">
        <v>122.581515009624</v>
      </c>
      <c r="U41" s="15">
        <v>-3.0355294200750099E-3</v>
      </c>
      <c r="V41" s="15">
        <v>1.84750038745563E-3</v>
      </c>
      <c r="W41" s="15">
        <v>3.3873003778874298E-4</v>
      </c>
      <c r="X41" s="34">
        <v>2.3886939571150099</v>
      </c>
      <c r="Y41" s="34">
        <v>2.38188334875188</v>
      </c>
      <c r="Z41" s="34">
        <v>2.3922322390583299</v>
      </c>
      <c r="AA41" s="34">
        <v>2.3894581239984598</v>
      </c>
      <c r="AB41" s="33">
        <v>122.19061579097099</v>
      </c>
      <c r="AC41" s="33">
        <v>122.766601956625</v>
      </c>
      <c r="AD41" s="33">
        <v>122.581515009624</v>
      </c>
      <c r="AE41" s="15">
        <v>-2.85525736338107E-3</v>
      </c>
      <c r="AF41" s="15">
        <v>1.84750038745563E-3</v>
      </c>
      <c r="AG41" s="15">
        <v>3.3873003778874298E-4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1.4209258279931214E-2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1.4209258279931214E-2</v>
      </c>
      <c r="BH41" s="29"/>
    </row>
    <row r="42" spans="1:124" x14ac:dyDescent="0.25">
      <c r="A42" s="1">
        <v>46084</v>
      </c>
      <c r="B42" s="33">
        <v>51.21</v>
      </c>
      <c r="C42" s="33">
        <v>122.04</v>
      </c>
      <c r="D42" s="15">
        <v>-1.7559267022648E-3</v>
      </c>
      <c r="E42" s="15">
        <v>-4.08864744903965E-3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51.21</v>
      </c>
      <c r="M42" s="33">
        <v>122.04</v>
      </c>
      <c r="N42" s="34">
        <v>2.3831282952548301</v>
      </c>
      <c r="O42" s="34">
        <v>2.3814540004427101</v>
      </c>
      <c r="P42" s="34">
        <v>2.3913879804612099</v>
      </c>
      <c r="Q42" s="34">
        <v>2.3896343425738999</v>
      </c>
      <c r="R42" s="33">
        <v>121.954259362671</v>
      </c>
      <c r="S42" s="33">
        <v>122.506212962177</v>
      </c>
      <c r="T42" s="33">
        <v>122.36415052996099</v>
      </c>
      <c r="U42" s="15">
        <v>-7.0280867330027705E-4</v>
      </c>
      <c r="V42" s="15">
        <v>3.8128869087870601E-3</v>
      </c>
      <c r="W42" s="15">
        <v>2.6525795026262101E-3</v>
      </c>
      <c r="X42" s="34">
        <v>2.3831282952548301</v>
      </c>
      <c r="Y42" s="34">
        <v>2.38188334875188</v>
      </c>
      <c r="Z42" s="34">
        <v>2.3913879804612099</v>
      </c>
      <c r="AA42" s="34">
        <v>2.3896343425738999</v>
      </c>
      <c r="AB42" s="33">
        <v>121.976246289584</v>
      </c>
      <c r="AC42" s="33">
        <v>122.506212962177</v>
      </c>
      <c r="AD42" s="33">
        <v>122.36415052996099</v>
      </c>
      <c r="AE42" s="15">
        <v>-5.2253661660631504E-4</v>
      </c>
      <c r="AF42" s="15">
        <v>3.8128869087870601E-3</v>
      </c>
      <c r="AG42" s="15">
        <v>2.6525795026262101E-3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1.4209258279931214E-2</v>
      </c>
      <c r="AT42" s="12"/>
      <c r="AU42">
        <f t="shared" si="10"/>
        <v>0</v>
      </c>
      <c r="AV42">
        <f t="shared" si="11"/>
        <v>0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1.4209258279931214E-2</v>
      </c>
      <c r="BH42" s="29"/>
    </row>
    <row r="43" spans="1:124" x14ac:dyDescent="0.25">
      <c r="A43" s="1">
        <v>46085</v>
      </c>
      <c r="B43" s="33">
        <v>51.5</v>
      </c>
      <c r="C43" s="33">
        <v>122.77</v>
      </c>
      <c r="D43" s="15">
        <v>5.6469821952314404E-3</v>
      </c>
      <c r="E43" s="15">
        <v>5.9638263442794697E-3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51.5</v>
      </c>
      <c r="M43" s="33">
        <v>122.77</v>
      </c>
      <c r="N43" s="34">
        <v>2.3838834951456298</v>
      </c>
      <c r="O43" s="34">
        <v>2.3814540004427101</v>
      </c>
      <c r="P43" s="34">
        <v>2.3905673548854498</v>
      </c>
      <c r="Q43" s="34">
        <v>2.3895682894215899</v>
      </c>
      <c r="R43" s="33">
        <v>122.644881022799</v>
      </c>
      <c r="S43" s="33">
        <v>123.156480993752</v>
      </c>
      <c r="T43" s="33">
        <v>123.066168642555</v>
      </c>
      <c r="U43" s="15">
        <v>-1.0196528223483201E-3</v>
      </c>
      <c r="V43" s="15">
        <v>3.14306381611672E-3</v>
      </c>
      <c r="W43" s="15">
        <v>2.4094809765185499E-3</v>
      </c>
      <c r="X43" s="34">
        <v>2.3838834951456298</v>
      </c>
      <c r="Y43" s="34">
        <v>2.38188334875188</v>
      </c>
      <c r="Z43" s="34">
        <v>2.3905673548854498</v>
      </c>
      <c r="AA43" s="34">
        <v>2.3895682894215899</v>
      </c>
      <c r="AB43" s="33">
        <v>122.666992460722</v>
      </c>
      <c r="AC43" s="33">
        <v>123.156480993752</v>
      </c>
      <c r="AD43" s="33">
        <v>123.066168642555</v>
      </c>
      <c r="AE43" s="15">
        <v>-8.3938076565437403E-4</v>
      </c>
      <c r="AF43" s="15">
        <v>3.14306381611672E-3</v>
      </c>
      <c r="AG43" s="15">
        <v>2.4094809765185499E-3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1.4209258279931214E-2</v>
      </c>
      <c r="AT43" s="12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1.4209258279931214E-2</v>
      </c>
      <c r="BH43" s="29"/>
    </row>
    <row r="44" spans="1:124" x14ac:dyDescent="0.25">
      <c r="A44" s="1">
        <v>46086</v>
      </c>
      <c r="B44" s="33">
        <v>51.23</v>
      </c>
      <c r="C44" s="33">
        <v>122</v>
      </c>
      <c r="D44" s="15">
        <v>-5.2565097185795504E-3</v>
      </c>
      <c r="E44" s="15">
        <v>-6.2916414594919997E-3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51.23</v>
      </c>
      <c r="M44" s="33">
        <v>122</v>
      </c>
      <c r="N44" s="34">
        <v>2.3814171383954701</v>
      </c>
      <c r="O44" s="34">
        <v>2.3814540004427101</v>
      </c>
      <c r="P44" s="34">
        <v>2.3894760869416798</v>
      </c>
      <c r="Q44" s="34">
        <v>2.3893748765118601</v>
      </c>
      <c r="R44" s="33">
        <v>122.00188844268</v>
      </c>
      <c r="S44" s="33">
        <v>122.468765590781</v>
      </c>
      <c r="T44" s="33">
        <v>122.417583467068</v>
      </c>
      <c r="U44" s="15">
        <v>1.5478918563997299E-5</v>
      </c>
      <c r="V44" s="15">
        <v>3.8349779708054402E-3</v>
      </c>
      <c r="W44" s="15">
        <v>3.4169708041694598E-3</v>
      </c>
      <c r="X44" s="34">
        <v>2.3814171383954701</v>
      </c>
      <c r="Y44" s="34">
        <v>2.38188334875188</v>
      </c>
      <c r="Z44" s="34">
        <v>2.3894760869416798</v>
      </c>
      <c r="AA44" s="34">
        <v>2.3893748765118601</v>
      </c>
      <c r="AB44" s="33">
        <v>122.023883956559</v>
      </c>
      <c r="AC44" s="33">
        <v>122.468765590781</v>
      </c>
      <c r="AD44" s="33">
        <v>122.417583467068</v>
      </c>
      <c r="AE44" s="15">
        <v>1.9575097525810199E-4</v>
      </c>
      <c r="AF44" s="15">
        <v>3.8349779708054402E-3</v>
      </c>
      <c r="AG44" s="15">
        <v>3.4169708041694598E-3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1.4209258279931214E-2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1.4209258279931214E-2</v>
      </c>
      <c r="BH44" s="29"/>
    </row>
    <row r="45" spans="1:124" x14ac:dyDescent="0.25">
      <c r="A45" s="1">
        <v>46087</v>
      </c>
      <c r="B45" s="33">
        <v>50.57</v>
      </c>
      <c r="C45" s="33">
        <v>120.16</v>
      </c>
      <c r="D45" s="15">
        <v>-1.29667828592191E-2</v>
      </c>
      <c r="E45" s="15">
        <v>-1.5196856717432001E-2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50.57</v>
      </c>
      <c r="M45" s="33">
        <v>120.16</v>
      </c>
      <c r="N45" s="34">
        <v>2.3761123195570399</v>
      </c>
      <c r="O45" s="34">
        <v>2.3814540004427101</v>
      </c>
      <c r="P45" s="34">
        <v>2.38829897826108</v>
      </c>
      <c r="Q45" s="34">
        <v>2.38906808866161</v>
      </c>
      <c r="R45" s="33">
        <v>120.430128802388</v>
      </c>
      <c r="S45" s="33">
        <v>120.835805716641</v>
      </c>
      <c r="T45" s="33">
        <v>120.83068750520501</v>
      </c>
      <c r="U45" s="15">
        <v>2.2455527767767602E-3</v>
      </c>
      <c r="V45" s="15">
        <v>5.6084585047063299E-3</v>
      </c>
      <c r="W45" s="15">
        <v>5.5661008624167804E-3</v>
      </c>
      <c r="X45" s="34">
        <v>2.3761123195570399</v>
      </c>
      <c r="Y45" s="34">
        <v>2.38188334875188</v>
      </c>
      <c r="Z45" s="34">
        <v>2.38829897826108</v>
      </c>
      <c r="AA45" s="34">
        <v>2.38906808866161</v>
      </c>
      <c r="AB45" s="33">
        <v>120.45184094638201</v>
      </c>
      <c r="AC45" s="33">
        <v>120.835805716641</v>
      </c>
      <c r="AD45" s="33">
        <v>120.83068750520501</v>
      </c>
      <c r="AE45" s="15">
        <v>2.42582483347071E-3</v>
      </c>
      <c r="AF45" s="15">
        <v>5.6084585047063299E-3</v>
      </c>
      <c r="AG45" s="15">
        <v>5.5661008624167804E-3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1.4209258279931214E-2</v>
      </c>
      <c r="AT45" s="12"/>
      <c r="AU45">
        <f t="shared" si="10"/>
        <v>1</v>
      </c>
      <c r="AV45">
        <f t="shared" si="11"/>
        <v>0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1.4209258279931214E-2</v>
      </c>
      <c r="BH45" s="29"/>
    </row>
    <row r="46" spans="1:124" x14ac:dyDescent="0.25">
      <c r="A46" s="1">
        <v>46090</v>
      </c>
      <c r="B46" s="33">
        <v>50.33</v>
      </c>
      <c r="C46" s="33">
        <v>119.61</v>
      </c>
      <c r="D46" s="15">
        <v>-4.7571943036231199E-3</v>
      </c>
      <c r="E46" s="15">
        <v>-4.5877379544512504E-3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50.33</v>
      </c>
      <c r="M46" s="33">
        <v>119.61</v>
      </c>
      <c r="N46" s="34">
        <v>2.3765150009934399</v>
      </c>
      <c r="O46" s="34">
        <v>2.3814540004427101</v>
      </c>
      <c r="P46" s="34">
        <v>2.38611211841561</v>
      </c>
      <c r="Q46" s="34">
        <v>2.38843198836111</v>
      </c>
      <c r="R46" s="33">
        <v>119.858579842281</v>
      </c>
      <c r="S46" s="33">
        <v>120.20308757588001</v>
      </c>
      <c r="T46" s="33">
        <v>120.241796902338</v>
      </c>
      <c r="U46" s="15">
        <v>2.0760964276048898E-3</v>
      </c>
      <c r="V46" s="15">
        <v>4.9462586971848197E-3</v>
      </c>
      <c r="W46" s="15">
        <v>5.2682395692430599E-3</v>
      </c>
      <c r="X46" s="34">
        <v>2.3765150009934399</v>
      </c>
      <c r="Y46" s="34">
        <v>2.38188334875188</v>
      </c>
      <c r="Z46" s="34">
        <v>2.38611211841561</v>
      </c>
      <c r="AA46" s="34">
        <v>2.38843198836111</v>
      </c>
      <c r="AB46" s="33">
        <v>119.880188942682</v>
      </c>
      <c r="AC46" s="33">
        <v>120.20308757588001</v>
      </c>
      <c r="AD46" s="33">
        <v>120.241796902338</v>
      </c>
      <c r="AE46" s="15">
        <v>2.2563684842989802E-3</v>
      </c>
      <c r="AF46" s="15">
        <v>4.9462586971848197E-3</v>
      </c>
      <c r="AG46" s="15">
        <v>5.2682395692430599E-3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1.4209258279931214E-2</v>
      </c>
      <c r="AT46" s="12"/>
      <c r="AU46">
        <f t="shared" si="10"/>
        <v>1</v>
      </c>
      <c r="AV46">
        <f t="shared" si="11"/>
        <v>0</v>
      </c>
      <c r="AW46">
        <f t="shared" si="18"/>
        <v>1</v>
      </c>
      <c r="AX46">
        <f t="shared" si="5"/>
        <v>1</v>
      </c>
      <c r="AY46">
        <f t="shared" si="19"/>
        <v>1</v>
      </c>
      <c r="AZ46" s="28">
        <f t="shared" si="12"/>
        <v>4.7571943036231199E-3</v>
      </c>
      <c r="BA46" s="28">
        <f t="shared" si="13"/>
        <v>-4.5877379544512504E-3</v>
      </c>
      <c r="BB46" s="28">
        <f t="shared" si="20"/>
        <v>1.6945634917186949E-4</v>
      </c>
      <c r="BC46" s="29">
        <f t="shared" si="21"/>
        <v>1.6945634917186949E-4</v>
      </c>
      <c r="BE46" s="29">
        <f t="shared" si="22"/>
        <v>1.6945634917186949E-4</v>
      </c>
      <c r="BF46" s="29">
        <f t="shared" si="23"/>
        <v>1.4378714629103083E-2</v>
      </c>
      <c r="BH46" s="29"/>
    </row>
    <row r="47" spans="1:124" x14ac:dyDescent="0.25">
      <c r="A47" s="1">
        <v>46091</v>
      </c>
      <c r="B47" s="33">
        <v>50.06</v>
      </c>
      <c r="C47" s="33">
        <v>119</v>
      </c>
      <c r="D47" s="15">
        <v>-5.3790347846404104E-3</v>
      </c>
      <c r="E47" s="15">
        <v>-5.1129569498439397E-3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50.06</v>
      </c>
      <c r="M47" s="33">
        <v>119</v>
      </c>
      <c r="N47" s="34">
        <v>2.3771474230922802</v>
      </c>
      <c r="O47" s="34">
        <v>2.3814540004427101</v>
      </c>
      <c r="P47" s="34">
        <v>2.3838307838319399</v>
      </c>
      <c r="Q47" s="34">
        <v>2.38755446889652</v>
      </c>
      <c r="R47" s="33">
        <v>119.215587262162</v>
      </c>
      <c r="S47" s="33">
        <v>119.44877264788499</v>
      </c>
      <c r="T47" s="33">
        <v>119.564905337357</v>
      </c>
      <c r="U47" s="15">
        <v>1.8100185928084499E-3</v>
      </c>
      <c r="V47" s="15">
        <v>3.7641055793371202E-3</v>
      </c>
      <c r="W47" s="15">
        <v>4.7358717107952404E-3</v>
      </c>
      <c r="X47" s="34">
        <v>2.3771474230922802</v>
      </c>
      <c r="Y47" s="34">
        <v>2.38188334875188</v>
      </c>
      <c r="Z47" s="34">
        <v>2.3838307838319399</v>
      </c>
      <c r="AA47" s="34">
        <v>2.38755446889652</v>
      </c>
      <c r="AB47" s="33">
        <v>119.237080438519</v>
      </c>
      <c r="AC47" s="33">
        <v>119.44877264788499</v>
      </c>
      <c r="AD47" s="33">
        <v>119.564905337357</v>
      </c>
      <c r="AE47" s="15">
        <v>1.9902906495024601E-3</v>
      </c>
      <c r="AF47" s="15">
        <v>3.7641055793371202E-3</v>
      </c>
      <c r="AG47" s="15">
        <v>4.7358717107952404E-3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1.4209258279931214E-2</v>
      </c>
      <c r="AT47" s="12"/>
      <c r="AU47">
        <f t="shared" si="10"/>
        <v>0</v>
      </c>
      <c r="AV47">
        <f t="shared" si="11"/>
        <v>0</v>
      </c>
      <c r="AW47">
        <f t="shared" si="18"/>
        <v>1</v>
      </c>
      <c r="AX47">
        <f t="shared" si="5"/>
        <v>1</v>
      </c>
      <c r="AY47">
        <f t="shared" si="19"/>
        <v>1</v>
      </c>
      <c r="AZ47" s="28">
        <f t="shared" si="12"/>
        <v>5.3790347846404104E-3</v>
      </c>
      <c r="BA47" s="28">
        <f t="shared" si="13"/>
        <v>-5.1129569498439397E-3</v>
      </c>
      <c r="BB47" s="28">
        <f t="shared" si="20"/>
        <v>2.6607783479647065E-4</v>
      </c>
      <c r="BC47" s="29">
        <f t="shared" si="21"/>
        <v>4.3553418396834014E-4</v>
      </c>
      <c r="BE47" s="29">
        <f t="shared" si="22"/>
        <v>2.6607783479647065E-4</v>
      </c>
      <c r="BF47" s="29">
        <f t="shared" si="23"/>
        <v>1.4644792463899554E-2</v>
      </c>
      <c r="BH47" s="29"/>
    </row>
    <row r="48" spans="1:124" x14ac:dyDescent="0.25">
      <c r="A48" s="1">
        <v>46092</v>
      </c>
      <c r="B48" s="33">
        <v>49.64</v>
      </c>
      <c r="C48" s="33">
        <v>118.05</v>
      </c>
      <c r="D48" s="15">
        <v>-8.4253256672216798E-3</v>
      </c>
      <c r="E48" s="15">
        <v>-8.0152295800074297E-3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49.64</v>
      </c>
      <c r="M48" s="33">
        <v>118.05</v>
      </c>
      <c r="N48" s="34">
        <v>2.3781224818694602</v>
      </c>
      <c r="O48" s="34">
        <v>2.3814540004427101</v>
      </c>
      <c r="P48" s="34">
        <v>2.3822561031582801</v>
      </c>
      <c r="Q48" s="34">
        <v>2.38722623257916</v>
      </c>
      <c r="R48" s="33">
        <v>118.215376581976</v>
      </c>
      <c r="S48" s="33">
        <v>118.333360109417</v>
      </c>
      <c r="T48" s="33">
        <v>118.51820383602301</v>
      </c>
      <c r="U48" s="15">
        <v>1.3999225055942399E-3</v>
      </c>
      <c r="V48" s="15">
        <v>2.3974635525297302E-3</v>
      </c>
      <c r="W48" s="15">
        <v>3.9583041148906596E-3</v>
      </c>
      <c r="X48" s="34">
        <v>2.3781224818694602</v>
      </c>
      <c r="Y48" s="34">
        <v>2.38188334875188</v>
      </c>
      <c r="Z48" s="34">
        <v>2.3822561031582801</v>
      </c>
      <c r="AA48" s="34">
        <v>2.38722623257916</v>
      </c>
      <c r="AB48" s="33">
        <v>118.23668943204299</v>
      </c>
      <c r="AC48" s="33">
        <v>118.333360109417</v>
      </c>
      <c r="AD48" s="33">
        <v>118.51820383602301</v>
      </c>
      <c r="AE48" s="15">
        <v>1.5801945622883899E-3</v>
      </c>
      <c r="AF48" s="15">
        <v>2.3974635525297302E-3</v>
      </c>
      <c r="AG48" s="15">
        <v>3.9583041148906596E-3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1.4209258279931214E-2</v>
      </c>
      <c r="AT48" s="12"/>
      <c r="AU48">
        <f t="shared" si="10"/>
        <v>0</v>
      </c>
      <c r="AV48">
        <f t="shared" si="11"/>
        <v>0</v>
      </c>
      <c r="AW48">
        <f t="shared" si="18"/>
        <v>1</v>
      </c>
      <c r="AX48">
        <f t="shared" si="5"/>
        <v>1</v>
      </c>
      <c r="AY48">
        <f t="shared" si="19"/>
        <v>1</v>
      </c>
      <c r="AZ48" s="28">
        <f t="shared" si="12"/>
        <v>8.4253256672216798E-3</v>
      </c>
      <c r="BA48" s="28">
        <f t="shared" si="13"/>
        <v>-8.0152295800074297E-3</v>
      </c>
      <c r="BB48" s="28">
        <f t="shared" si="20"/>
        <v>4.1009608721425013E-4</v>
      </c>
      <c r="BC48" s="29">
        <f t="shared" si="21"/>
        <v>8.4563027118259027E-4</v>
      </c>
      <c r="BE48" s="29">
        <f t="shared" si="22"/>
        <v>4.1009608721425013E-4</v>
      </c>
      <c r="BF48" s="29">
        <f t="shared" si="23"/>
        <v>1.5054888551113805E-2</v>
      </c>
      <c r="BH48" s="29"/>
    </row>
    <row r="49" spans="1:60" x14ac:dyDescent="0.25">
      <c r="A49" s="1">
        <v>46093</v>
      </c>
      <c r="B49" s="33">
        <v>48.83</v>
      </c>
      <c r="C49" s="33">
        <v>116.1</v>
      </c>
      <c r="D49" s="15">
        <v>-1.6452082262837599E-2</v>
      </c>
      <c r="E49" s="15">
        <v>-1.6656374827676099E-2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48.83</v>
      </c>
      <c r="M49" s="33">
        <v>116.1</v>
      </c>
      <c r="N49" s="34">
        <v>2.3776366987507598</v>
      </c>
      <c r="O49" s="34">
        <v>2.3814540004427101</v>
      </c>
      <c r="P49" s="34">
        <v>2.3806673920809698</v>
      </c>
      <c r="Q49" s="34">
        <v>2.3869764785898901</v>
      </c>
      <c r="R49" s="33">
        <v>116.286398841617</v>
      </c>
      <c r="S49" s="33">
        <v>116.325565517218</v>
      </c>
      <c r="T49" s="33">
        <v>116.56825693684</v>
      </c>
      <c r="U49" s="15">
        <v>1.6042150704328199E-3</v>
      </c>
      <c r="V49" s="15">
        <v>1.94097054282806E-3</v>
      </c>
      <c r="W49" s="15">
        <v>4.0251091851626897E-3</v>
      </c>
      <c r="X49" s="34">
        <v>2.3776366987507598</v>
      </c>
      <c r="Y49" s="34">
        <v>2.38188334875188</v>
      </c>
      <c r="Z49" s="34">
        <v>2.3806673920809698</v>
      </c>
      <c r="AA49" s="34">
        <v>2.3869764785898901</v>
      </c>
      <c r="AB49" s="33">
        <v>116.30736391955401</v>
      </c>
      <c r="AC49" s="33">
        <v>116.325565517218</v>
      </c>
      <c r="AD49" s="33">
        <v>116.56825693684</v>
      </c>
      <c r="AE49" s="15">
        <v>1.7844871271267299E-3</v>
      </c>
      <c r="AF49" s="15">
        <v>1.94097054282806E-3</v>
      </c>
      <c r="AG49" s="15">
        <v>4.0251091851626897E-3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1.4209258279931214E-2</v>
      </c>
      <c r="AT49" s="12"/>
      <c r="AU49">
        <f t="shared" si="10"/>
        <v>0</v>
      </c>
      <c r="AV49">
        <f t="shared" si="11"/>
        <v>0</v>
      </c>
      <c r="AW49">
        <f t="shared" si="18"/>
        <v>1</v>
      </c>
      <c r="AX49">
        <f t="shared" si="5"/>
        <v>1</v>
      </c>
      <c r="AY49">
        <f t="shared" si="19"/>
        <v>1</v>
      </c>
      <c r="AZ49" s="28">
        <f t="shared" si="12"/>
        <v>1.6452082262837599E-2</v>
      </c>
      <c r="BA49" s="28">
        <f t="shared" si="13"/>
        <v>-1.6656374827676099E-2</v>
      </c>
      <c r="BB49" s="28">
        <f t="shared" si="20"/>
        <v>-2.0429256483850064E-4</v>
      </c>
      <c r="BC49" s="29">
        <f t="shared" si="21"/>
        <v>6.4133770634408963E-4</v>
      </c>
      <c r="BE49" s="29">
        <f t="shared" si="22"/>
        <v>-2.0429256483850064E-4</v>
      </c>
      <c r="BF49" s="29">
        <f t="shared" si="23"/>
        <v>1.4850595986275304E-2</v>
      </c>
      <c r="BH49" s="29"/>
    </row>
    <row r="50" spans="1:60" x14ac:dyDescent="0.25">
      <c r="A50" s="1">
        <v>46094</v>
      </c>
      <c r="B50" s="33">
        <v>48.89</v>
      </c>
      <c r="C50" s="33">
        <v>116.08</v>
      </c>
      <c r="D50" s="15">
        <v>1.22799851698528E-3</v>
      </c>
      <c r="E50" s="15">
        <v>-1.72280127913352E-4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48.89</v>
      </c>
      <c r="M50" s="33">
        <v>116.08</v>
      </c>
      <c r="N50" s="34">
        <v>2.3743096747801098</v>
      </c>
      <c r="O50" s="34">
        <v>2.3814540004427101</v>
      </c>
      <c r="P50" s="34">
        <v>2.3796966484954001</v>
      </c>
      <c r="Q50" s="34">
        <v>2.38640389887368</v>
      </c>
      <c r="R50" s="33">
        <v>116.42928608164399</v>
      </c>
      <c r="S50" s="33">
        <v>116.390828798838</v>
      </c>
      <c r="T50" s="33">
        <v>116.699280038259</v>
      </c>
      <c r="U50" s="15">
        <v>3.0044937153314299E-3</v>
      </c>
      <c r="V50" s="15">
        <v>2.6741332292982102E-3</v>
      </c>
      <c r="W50" s="15">
        <v>5.3207613595865301E-3</v>
      </c>
      <c r="X50" s="34">
        <v>2.3743096747801098</v>
      </c>
      <c r="Y50" s="34">
        <v>2.38188334875188</v>
      </c>
      <c r="Z50" s="34">
        <v>2.3796966484954001</v>
      </c>
      <c r="AA50" s="34">
        <v>2.38640389887368</v>
      </c>
      <c r="AB50" s="33">
        <v>116.450276920479</v>
      </c>
      <c r="AC50" s="33">
        <v>116.390828798838</v>
      </c>
      <c r="AD50" s="33">
        <v>116.699280038259</v>
      </c>
      <c r="AE50" s="15">
        <v>3.1847657720255199E-3</v>
      </c>
      <c r="AF50" s="15">
        <v>2.6741332292982102E-3</v>
      </c>
      <c r="AG50" s="15">
        <v>5.3207613595865301E-3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1.4209258279931214E-2</v>
      </c>
      <c r="AT50" s="12"/>
      <c r="AU50">
        <f t="shared" si="10"/>
        <v>1</v>
      </c>
      <c r="AV50">
        <f t="shared" si="11"/>
        <v>0</v>
      </c>
      <c r="AW50">
        <f t="shared" si="18"/>
        <v>1</v>
      </c>
      <c r="AX50">
        <f t="shared" si="5"/>
        <v>1</v>
      </c>
      <c r="AY50">
        <f t="shared" si="19"/>
        <v>1</v>
      </c>
      <c r="AZ50" s="28">
        <f t="shared" si="12"/>
        <v>-1.22799851698528E-3</v>
      </c>
      <c r="BA50" s="28">
        <f t="shared" si="13"/>
        <v>-1.72280127913352E-4</v>
      </c>
      <c r="BB50" s="28">
        <f t="shared" si="20"/>
        <v>-1.4002786448986319E-3</v>
      </c>
      <c r="BC50" s="29">
        <f t="shared" si="21"/>
        <v>-7.5894093855454229E-4</v>
      </c>
      <c r="BE50" s="29">
        <f t="shared" si="22"/>
        <v>-1.4002786448986319E-3</v>
      </c>
      <c r="BF50" s="29">
        <f t="shared" si="23"/>
        <v>1.3450317341376672E-2</v>
      </c>
      <c r="BH50" s="29"/>
    </row>
    <row r="51" spans="1:60" x14ac:dyDescent="0.25">
      <c r="A51" s="1">
        <v>46097</v>
      </c>
      <c r="B51" s="33">
        <v>49.3</v>
      </c>
      <c r="C51" s="33">
        <v>117.05</v>
      </c>
      <c r="D51" s="15">
        <v>8.3512044580902299E-3</v>
      </c>
      <c r="E51" s="15">
        <v>8.3215853609873401E-3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49.3</v>
      </c>
      <c r="M51" s="33">
        <v>117.05</v>
      </c>
      <c r="N51" s="34">
        <v>2.3742393509127702</v>
      </c>
      <c r="O51" s="34">
        <v>2.3814540004427101</v>
      </c>
      <c r="P51" s="34">
        <v>2.37825118787518</v>
      </c>
      <c r="Q51" s="34">
        <v>2.3852417134667601</v>
      </c>
      <c r="R51" s="33">
        <v>117.405682221825</v>
      </c>
      <c r="S51" s="33">
        <v>117.319044770823</v>
      </c>
      <c r="T51" s="33">
        <v>117.649712214472</v>
      </c>
      <c r="U51" s="15">
        <v>3.03411281243438E-3</v>
      </c>
      <c r="V51" s="15">
        <v>2.2959080561931701E-3</v>
      </c>
      <c r="W51" s="15">
        <v>5.1104751176315197E-3</v>
      </c>
      <c r="X51" s="34">
        <v>2.3742393509127702</v>
      </c>
      <c r="Y51" s="34">
        <v>2.38188334875188</v>
      </c>
      <c r="Z51" s="34">
        <v>2.37825118787518</v>
      </c>
      <c r="AA51" s="34">
        <v>2.3852417134667601</v>
      </c>
      <c r="AB51" s="33">
        <v>117.426849093467</v>
      </c>
      <c r="AC51" s="33">
        <v>117.319044770823</v>
      </c>
      <c r="AD51" s="33">
        <v>117.649712214472</v>
      </c>
      <c r="AE51" s="15">
        <v>3.2143848691282301E-3</v>
      </c>
      <c r="AF51" s="15">
        <v>2.2959080561931701E-3</v>
      </c>
      <c r="AG51" s="15">
        <v>5.1104751176315197E-3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1.4209258279931214E-2</v>
      </c>
      <c r="AT51" s="12"/>
      <c r="AU51">
        <f t="shared" si="10"/>
        <v>1</v>
      </c>
      <c r="AV51">
        <f t="shared" si="11"/>
        <v>0</v>
      </c>
      <c r="AW51">
        <f t="shared" si="18"/>
        <v>1</v>
      </c>
      <c r="AX51">
        <f t="shared" si="5"/>
        <v>0</v>
      </c>
      <c r="AY51">
        <f t="shared" si="19"/>
        <v>1</v>
      </c>
      <c r="AZ51" s="28">
        <f t="shared" si="12"/>
        <v>-8.3512044580902299E-3</v>
      </c>
      <c r="BA51" s="28">
        <f t="shared" si="13"/>
        <v>8.3215853609873401E-3</v>
      </c>
      <c r="BB51" s="28">
        <f t="shared" si="20"/>
        <v>-2.9619097102889791E-5</v>
      </c>
      <c r="BC51" s="29">
        <f t="shared" si="21"/>
        <v>-7.8856003565743208E-4</v>
      </c>
      <c r="BE51" s="29">
        <f t="shared" si="22"/>
        <v>-2.9619097102889791E-5</v>
      </c>
      <c r="BF51" s="29">
        <f t="shared" si="23"/>
        <v>1.3420698244273782E-2</v>
      </c>
      <c r="BH51" s="29"/>
    </row>
    <row r="52" spans="1:60" x14ac:dyDescent="0.25">
      <c r="A52" s="1">
        <v>46098</v>
      </c>
      <c r="B52" s="33">
        <v>49.56</v>
      </c>
      <c r="C52" s="33">
        <v>117.34</v>
      </c>
      <c r="D52" s="15">
        <v>5.2599757122974503E-3</v>
      </c>
      <c r="E52" s="15">
        <v>2.4745095607941201E-3</v>
      </c>
      <c r="F52" s="33">
        <v>0</v>
      </c>
      <c r="G52" s="33">
        <v>0</v>
      </c>
      <c r="H52" s="33">
        <v>0.57623199999999997</v>
      </c>
      <c r="I52" s="33">
        <v>0.57623199999999997</v>
      </c>
      <c r="J52" s="33">
        <v>0</v>
      </c>
      <c r="K52" s="33">
        <v>0.57623199999999997</v>
      </c>
      <c r="L52" s="33">
        <v>49.56</v>
      </c>
      <c r="M52" s="33">
        <v>117.91623199999999</v>
      </c>
      <c r="N52" s="34">
        <v>2.3676351896690799</v>
      </c>
      <c r="O52" s="34">
        <v>2.3814540004427101</v>
      </c>
      <c r="P52" s="34">
        <v>2.3767018773166102</v>
      </c>
      <c r="Q52" s="34">
        <v>2.3840449288889101</v>
      </c>
      <c r="R52" s="33">
        <v>118.02486026194001</v>
      </c>
      <c r="S52" s="33">
        <v>117.86612887109401</v>
      </c>
      <c r="T52" s="33">
        <v>118.212579319412</v>
      </c>
      <c r="U52" s="15">
        <v>5.81957896393763E-3</v>
      </c>
      <c r="V52" s="15">
        <v>4.4737758420135398E-3</v>
      </c>
      <c r="W52" s="15">
        <v>7.4088198337534002E-3</v>
      </c>
      <c r="X52" s="34">
        <v>2.3792621468926498</v>
      </c>
      <c r="Y52" s="34">
        <v>2.38188334875188</v>
      </c>
      <c r="Z52" s="34">
        <v>2.37786457303896</v>
      </c>
      <c r="AA52" s="34">
        <v>2.3846262767500899</v>
      </c>
      <c r="AB52" s="33">
        <v>118.046138764143</v>
      </c>
      <c r="AC52" s="33">
        <v>117.86612887109401</v>
      </c>
      <c r="AD52" s="33">
        <v>118.212579319412</v>
      </c>
      <c r="AE52" s="15">
        <v>1.10108045488315E-3</v>
      </c>
      <c r="AF52" s="15">
        <v>-4.2499472373502199E-4</v>
      </c>
      <c r="AG52" s="15">
        <v>2.5100492680049098E-3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1.4209258279931214E-2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-7.8856003565743208E-4</v>
      </c>
      <c r="BE52" s="29">
        <f t="shared" si="22"/>
        <v>0</v>
      </c>
      <c r="BF52" s="29">
        <f t="shared" si="23"/>
        <v>1.3420698244273782E-2</v>
      </c>
      <c r="BH52" s="29"/>
    </row>
    <row r="53" spans="1:60" x14ac:dyDescent="0.25">
      <c r="A53" s="1">
        <v>46099</v>
      </c>
      <c r="B53" s="33">
        <v>48.97</v>
      </c>
      <c r="C53" s="33">
        <v>116.34</v>
      </c>
      <c r="D53" s="15">
        <v>-1.19761910467157E-2</v>
      </c>
      <c r="E53" s="15">
        <v>-8.5587650150983595E-3</v>
      </c>
      <c r="F53" s="33">
        <v>0</v>
      </c>
      <c r="G53" s="33">
        <v>0</v>
      </c>
      <c r="H53" s="33">
        <v>0</v>
      </c>
      <c r="I53" s="33">
        <v>0.57623199999999997</v>
      </c>
      <c r="J53" s="33">
        <v>0</v>
      </c>
      <c r="K53" s="33">
        <v>0.57623199999999997</v>
      </c>
      <c r="L53" s="33">
        <v>48.97</v>
      </c>
      <c r="M53" s="33">
        <v>116.91623199999999</v>
      </c>
      <c r="N53" s="34">
        <v>2.3757402491321198</v>
      </c>
      <c r="O53" s="34">
        <v>2.3814540004427101</v>
      </c>
      <c r="P53" s="34">
        <v>2.3758875527152501</v>
      </c>
      <c r="Q53" s="34">
        <v>2.3832274538003499</v>
      </c>
      <c r="R53" s="33">
        <v>116.619802401679</v>
      </c>
      <c r="S53" s="33">
        <v>116.387090932194</v>
      </c>
      <c r="T53" s="33">
        <v>116.74668016769</v>
      </c>
      <c r="U53" s="15">
        <v>2.40215293232021E-3</v>
      </c>
      <c r="V53" s="15">
        <v>4.0468802019090602E-4</v>
      </c>
      <c r="W53" s="15">
        <v>3.4895222675800299E-3</v>
      </c>
      <c r="X53" s="34">
        <v>2.3875072901776599</v>
      </c>
      <c r="Y53" s="34">
        <v>2.38188334875188</v>
      </c>
      <c r="Z53" s="34">
        <v>2.37822695254216</v>
      </c>
      <c r="AA53" s="34">
        <v>2.38439715371381</v>
      </c>
      <c r="AB53" s="33">
        <v>116.640827588379</v>
      </c>
      <c r="AC53" s="33">
        <v>116.44402814171799</v>
      </c>
      <c r="AD53" s="33">
        <v>116.775148772451</v>
      </c>
      <c r="AE53" s="15">
        <v>-2.3583490882365899E-3</v>
      </c>
      <c r="AF53" s="15">
        <v>-4.0470001403212904E-3</v>
      </c>
      <c r="AG53" s="15">
        <v>-1.2074321630695501E-3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1.4209258279931214E-2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-7.8856003565743208E-4</v>
      </c>
      <c r="BE53" s="29">
        <f t="shared" si="22"/>
        <v>0</v>
      </c>
      <c r="BF53" s="29">
        <f t="shared" si="23"/>
        <v>1.3420698244273782E-2</v>
      </c>
      <c r="BH53" s="29"/>
    </row>
    <row r="54" spans="1:60" x14ac:dyDescent="0.25">
      <c r="A54" s="1">
        <v>46100</v>
      </c>
      <c r="B54" s="33">
        <v>48.99</v>
      </c>
      <c r="C54" s="33">
        <v>116.32</v>
      </c>
      <c r="D54" s="15">
        <v>4.0832993625748698E-4</v>
      </c>
      <c r="E54" s="15">
        <v>-1.71924697406326E-4</v>
      </c>
      <c r="F54" s="33">
        <v>0</v>
      </c>
      <c r="G54" s="33">
        <v>0</v>
      </c>
      <c r="H54" s="33">
        <v>0</v>
      </c>
      <c r="I54" s="33">
        <v>0.57623199999999997</v>
      </c>
      <c r="J54" s="33">
        <v>0</v>
      </c>
      <c r="K54" s="33">
        <v>0.57623199999999997</v>
      </c>
      <c r="L54" s="33">
        <v>48.99</v>
      </c>
      <c r="M54" s="33">
        <v>116.896232</v>
      </c>
      <c r="N54" s="34">
        <v>2.3743621147172802</v>
      </c>
      <c r="O54" s="34">
        <v>2.3814540004427101</v>
      </c>
      <c r="P54" s="34">
        <v>2.3751820503474401</v>
      </c>
      <c r="Q54" s="34">
        <v>2.3823290686445602</v>
      </c>
      <c r="R54" s="33">
        <v>116.667431481688</v>
      </c>
      <c r="S54" s="33">
        <v>116.39473120752</v>
      </c>
      <c r="T54" s="33">
        <v>116.75431296167901</v>
      </c>
      <c r="U54" s="15">
        <v>2.9824075659841999E-3</v>
      </c>
      <c r="V54" s="15">
        <v>6.4225594745639404E-4</v>
      </c>
      <c r="W54" s="15">
        <v>3.7268239373915899E-3</v>
      </c>
      <c r="X54" s="34">
        <v>2.38612435190855</v>
      </c>
      <c r="Y54" s="34">
        <v>2.38188334875188</v>
      </c>
      <c r="Z54" s="34">
        <v>2.3786976738934702</v>
      </c>
      <c r="AA54" s="34">
        <v>2.3840868804175801</v>
      </c>
      <c r="AB54" s="33">
        <v>116.688465255354</v>
      </c>
      <c r="AC54" s="33">
        <v>116.50933840504</v>
      </c>
      <c r="AD54" s="33">
        <v>116.81161656043901</v>
      </c>
      <c r="AE54" s="15">
        <v>-1.7789418731495199E-3</v>
      </c>
      <c r="AF54" s="15">
        <v>-3.3152075045771098E-3</v>
      </c>
      <c r="AG54" s="15">
        <v>-7.2411297933504596E-4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1.4209258279931214E-2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-7.8856003565743208E-4</v>
      </c>
      <c r="BE54" s="29">
        <f t="shared" si="22"/>
        <v>0</v>
      </c>
      <c r="BF54" s="29">
        <f t="shared" si="23"/>
        <v>1.3420698244273782E-2</v>
      </c>
      <c r="BH54" s="29"/>
    </row>
    <row r="55" spans="1:60" x14ac:dyDescent="0.25">
      <c r="A55" s="1">
        <v>46101</v>
      </c>
      <c r="B55" s="33">
        <v>49.08</v>
      </c>
      <c r="C55" s="33">
        <v>116.24</v>
      </c>
      <c r="D55" s="15">
        <v>1.8354241922271799E-3</v>
      </c>
      <c r="E55" s="15">
        <v>-6.87994523181751E-4</v>
      </c>
      <c r="F55" s="33">
        <v>0</v>
      </c>
      <c r="G55" s="33">
        <v>0</v>
      </c>
      <c r="H55" s="33">
        <v>0</v>
      </c>
      <c r="I55" s="33">
        <v>0.57623199999999997</v>
      </c>
      <c r="J55" s="33">
        <v>0</v>
      </c>
      <c r="K55" s="33">
        <v>0.57623199999999997</v>
      </c>
      <c r="L55" s="33">
        <v>49.08</v>
      </c>
      <c r="M55" s="33">
        <v>116.816232</v>
      </c>
      <c r="N55" s="34">
        <v>2.3683781581091998</v>
      </c>
      <c r="O55" s="34">
        <v>2.3814540004427101</v>
      </c>
      <c r="P55" s="34">
        <v>2.3744086342026498</v>
      </c>
      <c r="Q55" s="34">
        <v>2.3813538062318602</v>
      </c>
      <c r="R55" s="33">
        <v>116.88176234172801</v>
      </c>
      <c r="S55" s="33">
        <v>116.573935031052</v>
      </c>
      <c r="T55" s="33">
        <v>116.924710689075</v>
      </c>
      <c r="U55" s="15">
        <v>5.5058262813928501E-3</v>
      </c>
      <c r="V55" s="15">
        <v>2.8686879074835501E-3</v>
      </c>
      <c r="W55" s="15">
        <v>5.8732100178057996E-3</v>
      </c>
      <c r="X55" s="34">
        <v>2.3801188264058601</v>
      </c>
      <c r="Y55" s="34">
        <v>2.38188334875188</v>
      </c>
      <c r="Z55" s="34">
        <v>2.3790983245783499</v>
      </c>
      <c r="AA55" s="34">
        <v>2.3836986514197198</v>
      </c>
      <c r="AB55" s="33">
        <v>116.902834756742</v>
      </c>
      <c r="AC55" s="33">
        <v>116.746481834691</v>
      </c>
      <c r="AD55" s="33">
        <v>117.010984090894</v>
      </c>
      <c r="AE55" s="15">
        <v>7.4108425904547001E-4</v>
      </c>
      <c r="AF55" s="15">
        <v>-5.9727142433365699E-4</v>
      </c>
      <c r="AG55" s="15">
        <v>1.6657781688907301E-3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1.4209258279931214E-2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-7.8856003565743208E-4</v>
      </c>
      <c r="BE55" s="29">
        <f t="shared" si="22"/>
        <v>0</v>
      </c>
      <c r="BF55" s="29">
        <f t="shared" si="23"/>
        <v>1.3420698244273782E-2</v>
      </c>
      <c r="BH55" s="29"/>
    </row>
    <row r="56" spans="1:60" x14ac:dyDescent="0.25">
      <c r="A56" s="1">
        <v>46104</v>
      </c>
      <c r="B56" s="33">
        <v>49.27</v>
      </c>
      <c r="C56" s="33">
        <v>117.27</v>
      </c>
      <c r="D56" s="15">
        <v>3.8637567131611099E-3</v>
      </c>
      <c r="E56" s="15">
        <v>8.8219492109457599E-3</v>
      </c>
      <c r="F56" s="33">
        <v>0.25148999999999999</v>
      </c>
      <c r="G56" s="33">
        <v>0.25148999999999999</v>
      </c>
      <c r="H56" s="33">
        <v>0</v>
      </c>
      <c r="I56" s="33">
        <v>0.57623199999999997</v>
      </c>
      <c r="J56" s="33">
        <v>0</v>
      </c>
      <c r="K56" s="33">
        <v>0</v>
      </c>
      <c r="L56" s="33">
        <v>49.27</v>
      </c>
      <c r="M56" s="33">
        <v>117.27</v>
      </c>
      <c r="N56" s="34">
        <v>2.3801501928150999</v>
      </c>
      <c r="O56" s="34">
        <v>2.3814540004427101</v>
      </c>
      <c r="P56" s="34">
        <v>2.3747721533848201</v>
      </c>
      <c r="Q56" s="34">
        <v>2.3804421359002199</v>
      </c>
      <c r="R56" s="33">
        <v>117.334238601812</v>
      </c>
      <c r="S56" s="33">
        <v>116.987113407164</v>
      </c>
      <c r="T56" s="33">
        <v>117.329302033044</v>
      </c>
      <c r="U56" s="15">
        <v>5.4763378360849098E-4</v>
      </c>
      <c r="V56" s="15">
        <v>-2.4151815603759802E-3</v>
      </c>
      <c r="W56" s="15">
        <v>5.0556019385698901E-4</v>
      </c>
      <c r="X56" s="34">
        <v>2.3801501928150999</v>
      </c>
      <c r="Y56" s="34">
        <v>2.38188334875188</v>
      </c>
      <c r="Z56" s="34">
        <v>2.3794618437605202</v>
      </c>
      <c r="AA56" s="34">
        <v>2.3827869810880702</v>
      </c>
      <c r="AB56" s="33">
        <v>117.35539259300501</v>
      </c>
      <c r="AC56" s="33">
        <v>117.218174451975</v>
      </c>
      <c r="AD56" s="33">
        <v>117.444832555449</v>
      </c>
      <c r="AE56" s="15">
        <v>7.2790584030234002E-4</v>
      </c>
      <c r="AF56" s="15">
        <v>-4.4203123666427998E-4</v>
      </c>
      <c r="AG56" s="15">
        <v>1.48974469044428E-3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1.4209258279931214E-2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-7.8856003565743208E-4</v>
      </c>
      <c r="BE56" s="29">
        <f t="shared" si="22"/>
        <v>0</v>
      </c>
      <c r="BF56" s="29">
        <f t="shared" si="23"/>
        <v>1.3420698244273782E-2</v>
      </c>
      <c r="BH56" s="29"/>
    </row>
    <row r="57" spans="1:60" x14ac:dyDescent="0.25">
      <c r="A57" s="1">
        <v>46105</v>
      </c>
      <c r="B57" s="33">
        <v>49.28</v>
      </c>
      <c r="C57" s="33">
        <v>117.32</v>
      </c>
      <c r="D57" s="15">
        <v>2.0294266939266701E-4</v>
      </c>
      <c r="E57" s="15">
        <v>4.2627563627709399E-4</v>
      </c>
      <c r="F57" s="33">
        <v>0</v>
      </c>
      <c r="G57" s="33">
        <v>0.25148999999999999</v>
      </c>
      <c r="H57" s="33">
        <v>0</v>
      </c>
      <c r="I57" s="33">
        <v>0.57623199999999997</v>
      </c>
      <c r="J57" s="33">
        <v>0</v>
      </c>
      <c r="K57" s="33">
        <v>0</v>
      </c>
      <c r="L57" s="33">
        <v>49.28</v>
      </c>
      <c r="M57" s="33">
        <v>117.32</v>
      </c>
      <c r="N57" s="34">
        <v>2.3806818181818099</v>
      </c>
      <c r="O57" s="34">
        <v>2.3814540004427101</v>
      </c>
      <c r="P57" s="34">
        <v>2.3751255928937698</v>
      </c>
      <c r="Q57" s="34">
        <v>2.3794781883628602</v>
      </c>
      <c r="R57" s="33">
        <v>117.358053141817</v>
      </c>
      <c r="S57" s="33">
        <v>117.02877171880399</v>
      </c>
      <c r="T57" s="33">
        <v>117.308188457162</v>
      </c>
      <c r="U57" s="15">
        <v>3.2430081672386499E-4</v>
      </c>
      <c r="V57" s="15">
        <v>-2.4854274163946199E-3</v>
      </c>
      <c r="W57" s="15">
        <v>-1.00683067322668E-4</v>
      </c>
      <c r="X57" s="34">
        <v>2.3806818181818099</v>
      </c>
      <c r="Y57" s="34">
        <v>2.38188334875188</v>
      </c>
      <c r="Z57" s="34">
        <v>2.3798152832694699</v>
      </c>
      <c r="AA57" s="34">
        <v>2.38182303355071</v>
      </c>
      <c r="AB57" s="33">
        <v>117.37921142649201</v>
      </c>
      <c r="AC57" s="33">
        <v>117.259879660518</v>
      </c>
      <c r="AD57" s="33">
        <v>117.42374242802001</v>
      </c>
      <c r="AE57" s="15">
        <v>5.0457287341770199E-4</v>
      </c>
      <c r="AF57" s="15">
        <v>-5.1257883570102604E-4</v>
      </c>
      <c r="AG57" s="15">
        <v>8.8387817030723798E-4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1.4209258279931214E-2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-7.8856003565743208E-4</v>
      </c>
      <c r="BE57" s="29">
        <f t="shared" si="22"/>
        <v>0</v>
      </c>
      <c r="BF57" s="29">
        <f t="shared" si="23"/>
        <v>1.3420698244273782E-2</v>
      </c>
      <c r="BH57" s="29"/>
    </row>
    <row r="58" spans="1:60" x14ac:dyDescent="0.25">
      <c r="A58" s="1">
        <v>46106</v>
      </c>
      <c r="B58" s="33">
        <v>49.34</v>
      </c>
      <c r="C58" s="33">
        <v>117.41</v>
      </c>
      <c r="D58" s="15">
        <v>1.21679187594636E-3</v>
      </c>
      <c r="E58" s="15">
        <v>7.6683853287013901E-4</v>
      </c>
      <c r="F58" s="33">
        <v>0</v>
      </c>
      <c r="G58" s="33">
        <v>0.25148999999999999</v>
      </c>
      <c r="H58" s="33">
        <v>0</v>
      </c>
      <c r="I58" s="33">
        <v>0.57623199999999997</v>
      </c>
      <c r="J58" s="33">
        <v>0</v>
      </c>
      <c r="K58" s="33">
        <v>0</v>
      </c>
      <c r="L58" s="33">
        <v>49.34</v>
      </c>
      <c r="M58" s="33">
        <v>117.41</v>
      </c>
      <c r="N58" s="34">
        <v>2.37961086339683</v>
      </c>
      <c r="O58" s="34">
        <v>2.3814540004427101</v>
      </c>
      <c r="P58" s="34">
        <v>2.3752744310465101</v>
      </c>
      <c r="Q58" s="34">
        <v>2.37876526710239</v>
      </c>
      <c r="R58" s="33">
        <v>117.50094038184299</v>
      </c>
      <c r="S58" s="33">
        <v>117.188696753378</v>
      </c>
      <c r="T58" s="33">
        <v>117.40345381382301</v>
      </c>
      <c r="U58" s="15">
        <v>7.74254159800022E-4</v>
      </c>
      <c r="V58" s="15">
        <v>-1.88665423403583E-3</v>
      </c>
      <c r="W58" s="15">
        <v>-5.57564830442967E-5</v>
      </c>
      <c r="X58" s="34">
        <v>2.37961086339683</v>
      </c>
      <c r="Y58" s="34">
        <v>2.38188334875188</v>
      </c>
      <c r="Z58" s="34">
        <v>2.3799641214222098</v>
      </c>
      <c r="AA58" s="34">
        <v>2.3811101122902398</v>
      </c>
      <c r="AB58" s="33">
        <v>117.52212442741801</v>
      </c>
      <c r="AC58" s="33">
        <v>117.420086076516</v>
      </c>
      <c r="AD58" s="33">
        <v>117.519148475392</v>
      </c>
      <c r="AE58" s="15">
        <v>9.5452621649384599E-4</v>
      </c>
      <c r="AF58" s="15">
        <v>8.59010588528884E-5</v>
      </c>
      <c r="AG58" s="15">
        <v>9.2920341263712095E-4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1.4209258279931214E-2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-7.8856003565743208E-4</v>
      </c>
      <c r="BE58" s="29">
        <f t="shared" si="22"/>
        <v>0</v>
      </c>
      <c r="BF58" s="29">
        <f t="shared" si="23"/>
        <v>1.3420698244273782E-2</v>
      </c>
      <c r="BH58" s="29"/>
    </row>
    <row r="59" spans="1:60" x14ac:dyDescent="0.25">
      <c r="A59" s="1">
        <v>46107</v>
      </c>
      <c r="B59" s="33">
        <v>49.05</v>
      </c>
      <c r="C59" s="33">
        <v>116.71</v>
      </c>
      <c r="D59" s="15">
        <v>-5.89492508983869E-3</v>
      </c>
      <c r="E59" s="15">
        <v>-5.9798572178581802E-3</v>
      </c>
      <c r="F59" s="33">
        <v>0</v>
      </c>
      <c r="G59" s="33">
        <v>0.25148999999999999</v>
      </c>
      <c r="H59" s="33">
        <v>0</v>
      </c>
      <c r="I59" s="33">
        <v>0.57623199999999997</v>
      </c>
      <c r="J59" s="33">
        <v>0</v>
      </c>
      <c r="K59" s="33">
        <v>0</v>
      </c>
      <c r="L59" s="33">
        <v>49.05</v>
      </c>
      <c r="M59" s="33">
        <v>116.71</v>
      </c>
      <c r="N59" s="34">
        <v>2.3794087665647199</v>
      </c>
      <c r="O59" s="34">
        <v>2.3814540004427101</v>
      </c>
      <c r="P59" s="34">
        <v>2.3754516378278998</v>
      </c>
      <c r="Q59" s="34">
        <v>2.3780595149544399</v>
      </c>
      <c r="R59" s="33">
        <v>116.81031872171501</v>
      </c>
      <c r="S59" s="33">
        <v>116.507210842831</v>
      </c>
      <c r="T59" s="33">
        <v>116.678436351372</v>
      </c>
      <c r="U59" s="15">
        <v>8.5918628781955298E-4</v>
      </c>
      <c r="V59" s="15">
        <v>-1.7390586873417E-3</v>
      </c>
      <c r="W59" s="15">
        <v>-2.7048168549629101E-4</v>
      </c>
      <c r="X59" s="34">
        <v>2.3794087665647199</v>
      </c>
      <c r="Y59" s="34">
        <v>2.38188334875188</v>
      </c>
      <c r="Z59" s="34">
        <v>2.3801413282036101</v>
      </c>
      <c r="AA59" s="34">
        <v>2.3804043601422902</v>
      </c>
      <c r="AB59" s="33">
        <v>116.831378256279</v>
      </c>
      <c r="AC59" s="33">
        <v>116.737240155759</v>
      </c>
      <c r="AD59" s="33">
        <v>116.793451007836</v>
      </c>
      <c r="AE59" s="15">
        <v>1.03945834451343E-3</v>
      </c>
      <c r="AF59" s="15">
        <v>2.3337312418102E-4</v>
      </c>
      <c r="AG59" s="15">
        <v>7.1477325949096098E-4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1.4209258279931214E-2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-7.8856003565743208E-4</v>
      </c>
      <c r="BE59" s="29">
        <f t="shared" si="22"/>
        <v>0</v>
      </c>
      <c r="BF59" s="29">
        <f t="shared" si="23"/>
        <v>1.3420698244273782E-2</v>
      </c>
      <c r="BH59" s="29"/>
    </row>
    <row r="60" spans="1:60" x14ac:dyDescent="0.25">
      <c r="A60" s="1">
        <v>46108</v>
      </c>
      <c r="B60" s="33">
        <v>47.81</v>
      </c>
      <c r="C60" s="33">
        <v>113.98</v>
      </c>
      <c r="D60" s="15">
        <v>-2.5605363373360002E-2</v>
      </c>
      <c r="E60" s="15">
        <v>-2.3669231017408698E-2</v>
      </c>
      <c r="F60" s="33">
        <v>0</v>
      </c>
      <c r="G60" s="33">
        <v>0.25148999999999999</v>
      </c>
      <c r="H60" s="33">
        <v>0</v>
      </c>
      <c r="I60" s="33">
        <v>0.57623199999999997</v>
      </c>
      <c r="J60" s="33">
        <v>0</v>
      </c>
      <c r="K60" s="33">
        <v>0</v>
      </c>
      <c r="L60" s="33">
        <v>47.81</v>
      </c>
      <c r="M60" s="33">
        <v>113.98</v>
      </c>
      <c r="N60" s="34">
        <v>2.3840200794812798</v>
      </c>
      <c r="O60" s="34">
        <v>2.3814540004427101</v>
      </c>
      <c r="P60" s="34">
        <v>2.3764226782980198</v>
      </c>
      <c r="Q60" s="34">
        <v>2.3780596633967099</v>
      </c>
      <c r="R60" s="33">
        <v>113.85731576116601</v>
      </c>
      <c r="S60" s="33">
        <v>113.570342804552</v>
      </c>
      <c r="T60" s="33">
        <v>113.695025409971</v>
      </c>
      <c r="U60" s="15">
        <v>-1.0769460681316499E-3</v>
      </c>
      <c r="V60" s="15">
        <v>-3.60058906502283E-3</v>
      </c>
      <c r="W60" s="15">
        <v>-2.5033464986931099E-3</v>
      </c>
      <c r="X60" s="34">
        <v>2.3840200794812798</v>
      </c>
      <c r="Y60" s="34">
        <v>2.38188334875188</v>
      </c>
      <c r="Z60" s="34">
        <v>2.3811123686737199</v>
      </c>
      <c r="AA60" s="34">
        <v>2.3804045085845602</v>
      </c>
      <c r="AB60" s="33">
        <v>113.877842903827</v>
      </c>
      <c r="AC60" s="33">
        <v>113.794556901414</v>
      </c>
      <c r="AD60" s="33">
        <v>113.807132458403</v>
      </c>
      <c r="AE60" s="15">
        <v>-8.9667401143782202E-4</v>
      </c>
      <c r="AF60" s="15">
        <v>-1.62830425031917E-3</v>
      </c>
      <c r="AG60" s="15">
        <v>-1.5177992972446601E-3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1.4209258279931214E-2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-7.8856003565743208E-4</v>
      </c>
      <c r="BE60" s="29">
        <f t="shared" si="22"/>
        <v>0</v>
      </c>
      <c r="BF60" s="29">
        <f t="shared" si="23"/>
        <v>1.3420698244273782E-2</v>
      </c>
      <c r="BH60" s="29"/>
    </row>
    <row r="61" spans="1:60" x14ac:dyDescent="0.25">
      <c r="A61" s="1">
        <v>46111</v>
      </c>
      <c r="B61" s="33">
        <v>48.36</v>
      </c>
      <c r="C61" s="33">
        <v>115.05</v>
      </c>
      <c r="D61" s="15">
        <v>1.1438203108579801E-2</v>
      </c>
      <c r="E61" s="15">
        <v>9.3438220745212294E-3</v>
      </c>
      <c r="F61" s="33">
        <v>0</v>
      </c>
      <c r="G61" s="33">
        <v>0.25148999999999999</v>
      </c>
      <c r="H61" s="33">
        <v>0</v>
      </c>
      <c r="I61" s="33">
        <v>0.57623199999999997</v>
      </c>
      <c r="J61" s="33">
        <v>0</v>
      </c>
      <c r="K61" s="33">
        <v>0</v>
      </c>
      <c r="L61" s="33">
        <v>48.36</v>
      </c>
      <c r="M61" s="33">
        <v>115.05</v>
      </c>
      <c r="N61" s="34">
        <v>2.3790322580645098</v>
      </c>
      <c r="O61" s="34">
        <v>2.3814540004427101</v>
      </c>
      <c r="P61" s="34">
        <v>2.3769019690131898</v>
      </c>
      <c r="Q61" s="34">
        <v>2.3775765784441898</v>
      </c>
      <c r="R61" s="33">
        <v>115.167115461409</v>
      </c>
      <c r="S61" s="33">
        <v>114.923800722492</v>
      </c>
      <c r="T61" s="33">
        <v>115.00296532186501</v>
      </c>
      <c r="U61" s="15">
        <v>1.0174349659266501E-3</v>
      </c>
      <c r="V61" s="15">
        <v>-1.0975101492305499E-3</v>
      </c>
      <c r="W61" s="15">
        <v>-4.0890304303909601E-4</v>
      </c>
      <c r="X61" s="34">
        <v>2.3790322580645098</v>
      </c>
      <c r="Y61" s="34">
        <v>2.38188334875188</v>
      </c>
      <c r="Z61" s="34">
        <v>2.3815916593889002</v>
      </c>
      <c r="AA61" s="34">
        <v>2.3799214236320401</v>
      </c>
      <c r="AB61" s="33">
        <v>115.187878745641</v>
      </c>
      <c r="AC61" s="33">
        <v>115.15059414906101</v>
      </c>
      <c r="AD61" s="33">
        <v>115.116362035149</v>
      </c>
      <c r="AE61" s="15">
        <v>1.19770702262066E-3</v>
      </c>
      <c r="AF61" s="15">
        <v>8.7396955543368596E-4</v>
      </c>
      <c r="AG61" s="15">
        <v>5.7664409692010504E-4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1.4209258279931214E-2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-7.8856003565743208E-4</v>
      </c>
      <c r="BE61" s="29">
        <f t="shared" si="22"/>
        <v>0</v>
      </c>
      <c r="BF61" s="29">
        <f t="shared" si="23"/>
        <v>1.3420698244273782E-2</v>
      </c>
      <c r="BH61" s="29"/>
    </row>
    <row r="62" spans="1:60" x14ac:dyDescent="0.25">
      <c r="A62" s="1">
        <v>46112</v>
      </c>
      <c r="B62" s="33">
        <v>49.37</v>
      </c>
      <c r="C62" s="33">
        <v>117.66</v>
      </c>
      <c r="D62" s="15">
        <v>2.06699265241795E-2</v>
      </c>
      <c r="E62" s="15">
        <v>2.2432292954934901E-2</v>
      </c>
      <c r="F62" s="33">
        <v>0</v>
      </c>
      <c r="G62" s="33">
        <v>0.25148999999999999</v>
      </c>
      <c r="H62" s="33">
        <v>0</v>
      </c>
      <c r="I62" s="33">
        <v>0.57623199999999997</v>
      </c>
      <c r="J62" s="33">
        <v>0</v>
      </c>
      <c r="K62" s="33">
        <v>0</v>
      </c>
      <c r="L62" s="33">
        <v>49.37</v>
      </c>
      <c r="M62" s="33">
        <v>117.66</v>
      </c>
      <c r="N62" s="34">
        <v>2.3832286813854502</v>
      </c>
      <c r="O62" s="34">
        <v>2.3814540004427101</v>
      </c>
      <c r="P62" s="34">
        <v>2.3784613181848302</v>
      </c>
      <c r="Q62" s="34">
        <v>2.3775815977507202</v>
      </c>
      <c r="R62" s="33">
        <v>117.57238400185599</v>
      </c>
      <c r="S62" s="33">
        <v>117.347650210181</v>
      </c>
      <c r="T62" s="33">
        <v>117.380955677789</v>
      </c>
      <c r="U62" s="15">
        <v>-7.4493146482875697E-4</v>
      </c>
      <c r="V62" s="15">
        <v>-2.6582111132398899E-3</v>
      </c>
      <c r="W62" s="15">
        <v>-2.3744325962957299E-3</v>
      </c>
      <c r="X62" s="34">
        <v>2.3832286813854502</v>
      </c>
      <c r="Y62" s="34">
        <v>2.38188334875188</v>
      </c>
      <c r="Z62" s="34">
        <v>2.38198831283818</v>
      </c>
      <c r="AA62" s="34">
        <v>2.37992644293857</v>
      </c>
      <c r="AB62" s="33">
        <v>117.59358092788</v>
      </c>
      <c r="AC62" s="33">
        <v>117.57918022403</v>
      </c>
      <c r="AD62" s="33">
        <v>117.496720684713</v>
      </c>
      <c r="AE62" s="15">
        <v>-5.6465940813470096E-4</v>
      </c>
      <c r="AF62" s="15">
        <v>-6.87128556330109E-4</v>
      </c>
      <c r="AG62" s="15">
        <v>-1.3886853078255599E-3</v>
      </c>
      <c r="AI62" s="12"/>
      <c r="AJ62">
        <f t="shared" si="6"/>
        <v>0</v>
      </c>
      <c r="AK62">
        <f t="shared" si="7"/>
        <v>0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1.4209258279931214E-2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-7.8856003565743208E-4</v>
      </c>
      <c r="BE62" s="29">
        <f t="shared" si="22"/>
        <v>0</v>
      </c>
      <c r="BF62" s="29">
        <f t="shared" si="23"/>
        <v>1.3420698244273782E-2</v>
      </c>
      <c r="BH62" s="29"/>
    </row>
    <row r="63" spans="1:60" x14ac:dyDescent="0.25">
      <c r="A63" s="1">
        <v>46113</v>
      </c>
      <c r="B63" s="33">
        <v>49.44</v>
      </c>
      <c r="C63" s="33">
        <v>118.06</v>
      </c>
      <c r="D63" s="15">
        <v>1.4168608786639201E-3</v>
      </c>
      <c r="E63" s="15">
        <v>3.3938603762334401E-3</v>
      </c>
      <c r="F63" s="33">
        <v>0</v>
      </c>
      <c r="G63" s="33">
        <v>0.25148999999999999</v>
      </c>
      <c r="H63" s="33">
        <v>0</v>
      </c>
      <c r="I63" s="33">
        <v>0.57623199999999997</v>
      </c>
      <c r="J63" s="33">
        <v>0</v>
      </c>
      <c r="K63" s="33">
        <v>0</v>
      </c>
      <c r="L63" s="33">
        <v>49.44</v>
      </c>
      <c r="M63" s="33">
        <v>118.06</v>
      </c>
      <c r="N63" s="34">
        <v>2.3879449838187701</v>
      </c>
      <c r="O63" s="34">
        <v>2.3814540004427101</v>
      </c>
      <c r="P63" s="34">
        <v>2.3796817916534998</v>
      </c>
      <c r="Q63" s="34">
        <v>2.3777846721843798</v>
      </c>
      <c r="R63" s="33">
        <v>117.739085781887</v>
      </c>
      <c r="S63" s="33">
        <v>117.591127571058</v>
      </c>
      <c r="T63" s="33">
        <v>117.547634192795</v>
      </c>
      <c r="U63" s="15">
        <v>-2.7219309623983099E-3</v>
      </c>
      <c r="V63" s="15">
        <v>-3.9793830185304597E-3</v>
      </c>
      <c r="W63" s="15">
        <v>-4.3493209941523501E-3</v>
      </c>
      <c r="X63" s="34">
        <v>2.3879449838187701</v>
      </c>
      <c r="Y63" s="34">
        <v>2.38188334875188</v>
      </c>
      <c r="Z63" s="34">
        <v>2.38203208220229</v>
      </c>
      <c r="AA63" s="34">
        <v>2.3801295173722301</v>
      </c>
      <c r="AB63" s="33">
        <v>117.760312762293</v>
      </c>
      <c r="AC63" s="33">
        <v>117.765502186719</v>
      </c>
      <c r="AD63" s="33">
        <v>117.66356333888299</v>
      </c>
      <c r="AE63" s="15">
        <v>-2.5416589057043401E-3</v>
      </c>
      <c r="AF63" s="15">
        <v>-2.4975921911621702E-3</v>
      </c>
      <c r="AG63" s="15">
        <v>-3.3635757856651E-3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1.4209258279931214E-2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-7.8856003565743208E-4</v>
      </c>
      <c r="BE63" s="29">
        <f t="shared" si="22"/>
        <v>0</v>
      </c>
      <c r="BF63" s="29">
        <f t="shared" si="23"/>
        <v>1.3420698244273782E-2</v>
      </c>
      <c r="BH63" s="29"/>
    </row>
    <row r="64" spans="1:60" x14ac:dyDescent="0.25">
      <c r="A64" s="1">
        <v>46114</v>
      </c>
      <c r="B64" s="33">
        <v>49.53</v>
      </c>
      <c r="C64" s="33">
        <v>118.4</v>
      </c>
      <c r="D64" s="15">
        <v>1.81873345071113E-3</v>
      </c>
      <c r="E64" s="15">
        <v>2.8757526373620898E-3</v>
      </c>
      <c r="F64" s="33">
        <v>0</v>
      </c>
      <c r="G64" s="33">
        <v>0.25148999999999999</v>
      </c>
      <c r="H64" s="33">
        <v>0</v>
      </c>
      <c r="I64" s="33">
        <v>0.57623199999999997</v>
      </c>
      <c r="J64" s="33">
        <v>0</v>
      </c>
      <c r="K64" s="33">
        <v>0</v>
      </c>
      <c r="L64" s="33">
        <v>49.53</v>
      </c>
      <c r="M64" s="33">
        <v>118.4</v>
      </c>
      <c r="N64" s="34">
        <v>2.3904704219664801</v>
      </c>
      <c r="O64" s="34">
        <v>2.3814540004427101</v>
      </c>
      <c r="P64" s="34">
        <v>2.3812926223784201</v>
      </c>
      <c r="Q64" s="34">
        <v>2.3782373363629299</v>
      </c>
      <c r="R64" s="33">
        <v>117.95341664192701</v>
      </c>
      <c r="S64" s="33">
        <v>117.865639140597</v>
      </c>
      <c r="T64" s="33">
        <v>117.77167481329199</v>
      </c>
      <c r="U64" s="15">
        <v>-3.77895014904927E-3</v>
      </c>
      <c r="V64" s="15">
        <v>-4.5233980910733404E-3</v>
      </c>
      <c r="W64" s="15">
        <v>-5.32093164558091E-3</v>
      </c>
      <c r="X64" s="34">
        <v>2.3904704219664801</v>
      </c>
      <c r="Y64" s="34">
        <v>2.38188334875188</v>
      </c>
      <c r="Z64" s="34">
        <v>2.3824666892080799</v>
      </c>
      <c r="AA64" s="34">
        <v>2.3805821815507802</v>
      </c>
      <c r="AB64" s="33">
        <v>117.97468226367999</v>
      </c>
      <c r="AC64" s="33">
        <v>117.98204903147899</v>
      </c>
      <c r="AD64" s="33">
        <v>117.88781499544601</v>
      </c>
      <c r="AE64" s="15">
        <v>-3.5986780923552798E-3</v>
      </c>
      <c r="AF64" s="15">
        <v>-3.5362364085719201E-3</v>
      </c>
      <c r="AG64" s="15">
        <v>-4.3352705830764001E-3</v>
      </c>
      <c r="AI64" s="12"/>
      <c r="AJ64">
        <f t="shared" si="6"/>
        <v>1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1.4209258279931214E-2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-7.8856003565743208E-4</v>
      </c>
      <c r="BE64" s="29">
        <f t="shared" si="22"/>
        <v>0</v>
      </c>
      <c r="BF64" s="29">
        <f t="shared" si="23"/>
        <v>1.3420698244273782E-2</v>
      </c>
      <c r="BH64" s="29"/>
    </row>
    <row r="65" spans="1:60" x14ac:dyDescent="0.25">
      <c r="A65" s="1">
        <v>46118</v>
      </c>
      <c r="B65" s="33">
        <v>49.88</v>
      </c>
      <c r="C65" s="33">
        <v>119.14</v>
      </c>
      <c r="D65" s="15">
        <v>7.04157421168941E-3</v>
      </c>
      <c r="E65" s="15">
        <v>6.2305497506359398E-3</v>
      </c>
      <c r="F65" s="33">
        <v>0</v>
      </c>
      <c r="G65" s="33">
        <v>0.25148999999999999</v>
      </c>
      <c r="H65" s="33">
        <v>0</v>
      </c>
      <c r="I65" s="33">
        <v>0.57623199999999997</v>
      </c>
      <c r="J65" s="33">
        <v>0</v>
      </c>
      <c r="K65" s="33">
        <v>0</v>
      </c>
      <c r="L65" s="33">
        <v>49.88</v>
      </c>
      <c r="M65" s="33">
        <v>119.14</v>
      </c>
      <c r="N65" s="34">
        <v>2.38853247794707</v>
      </c>
      <c r="O65" s="34">
        <v>2.3814540004427101</v>
      </c>
      <c r="P65" s="34">
        <v>2.3833080543622001</v>
      </c>
      <c r="Q65" s="34">
        <v>2.3788583442824298</v>
      </c>
      <c r="R65" s="33">
        <v>118.786925542082</v>
      </c>
      <c r="S65" s="33">
        <v>118.778876004235</v>
      </c>
      <c r="T65" s="33">
        <v>118.626478337783</v>
      </c>
      <c r="U65" s="15">
        <v>-2.9679256879958098E-3</v>
      </c>
      <c r="V65" s="15">
        <v>-3.0356924944784499E-3</v>
      </c>
      <c r="W65" s="15">
        <v>-4.3195530696371999E-3</v>
      </c>
      <c r="X65" s="34">
        <v>2.38853247794707</v>
      </c>
      <c r="Y65" s="34">
        <v>2.38188334875188</v>
      </c>
      <c r="Z65" s="34">
        <v>2.3833080543622001</v>
      </c>
      <c r="AA65" s="34">
        <v>2.3812031894702801</v>
      </c>
      <c r="AB65" s="33">
        <v>118.808341435744</v>
      </c>
      <c r="AC65" s="33">
        <v>118.83743845769899</v>
      </c>
      <c r="AD65" s="33">
        <v>118.743439215753</v>
      </c>
      <c r="AE65" s="15">
        <v>-2.7876536313019801E-3</v>
      </c>
      <c r="AF65" s="15">
        <v>-2.5427763848915202E-3</v>
      </c>
      <c r="AG65" s="15">
        <v>-3.3340795215052099E-3</v>
      </c>
      <c r="AI65" s="12"/>
      <c r="AJ65">
        <f t="shared" si="6"/>
        <v>0</v>
      </c>
      <c r="AK65">
        <f t="shared" si="7"/>
        <v>0</v>
      </c>
      <c r="AL65">
        <f t="shared" si="14"/>
        <v>1</v>
      </c>
      <c r="AM65">
        <f t="shared" si="4"/>
        <v>1</v>
      </c>
      <c r="AN65">
        <f t="shared" si="15"/>
        <v>1</v>
      </c>
      <c r="AO65" s="28">
        <f t="shared" si="8"/>
        <v>7.04157421168941E-3</v>
      </c>
      <c r="AP65" s="28">
        <f t="shared" si="9"/>
        <v>-6.2305497506359398E-3</v>
      </c>
      <c r="AQ65" s="28">
        <f t="shared" si="16"/>
        <v>8.1102446105347017E-4</v>
      </c>
      <c r="AR65" s="29">
        <f t="shared" si="17"/>
        <v>1.5020282740984684E-2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-7.8856003565743208E-4</v>
      </c>
      <c r="BE65" s="29">
        <f t="shared" si="22"/>
        <v>8.1102446105347017E-4</v>
      </c>
      <c r="BF65" s="29">
        <f t="shared" si="23"/>
        <v>1.4231722705327252E-2</v>
      </c>
      <c r="BH65" s="29"/>
    </row>
    <row r="66" spans="1:60" x14ac:dyDescent="0.25">
      <c r="A66" s="1">
        <v>46119</v>
      </c>
      <c r="B66" s="33">
        <v>49.88</v>
      </c>
      <c r="C66" s="33">
        <v>119.27</v>
      </c>
      <c r="D66" s="15">
        <v>0</v>
      </c>
      <c r="E66" s="15">
        <v>1.09055839003633E-3</v>
      </c>
      <c r="F66" s="33">
        <v>0</v>
      </c>
      <c r="G66" s="33">
        <v>0.25148999999999999</v>
      </c>
      <c r="H66" s="33">
        <v>0</v>
      </c>
      <c r="I66" s="33">
        <v>0.57623199999999997</v>
      </c>
      <c r="J66" s="33">
        <v>0</v>
      </c>
      <c r="K66" s="33">
        <v>0</v>
      </c>
      <c r="L66" s="33">
        <v>49.88</v>
      </c>
      <c r="M66" s="33">
        <v>119.27</v>
      </c>
      <c r="N66" s="34">
        <v>2.3911387329590998</v>
      </c>
      <c r="O66" s="34">
        <v>2.3814540004427101</v>
      </c>
      <c r="P66" s="34">
        <v>2.3844069083766</v>
      </c>
      <c r="Q66" s="34">
        <v>2.3795895308807098</v>
      </c>
      <c r="R66" s="33">
        <v>118.786925542082</v>
      </c>
      <c r="S66" s="33">
        <v>118.87940575158601</v>
      </c>
      <c r="T66" s="33">
        <v>118.657454212807</v>
      </c>
      <c r="U66" s="15">
        <v>-4.0584840780320602E-3</v>
      </c>
      <c r="V66" s="15">
        <v>-3.2802483584971E-3</v>
      </c>
      <c r="W66" s="15">
        <v>-5.1490244583943202E-3</v>
      </c>
      <c r="X66" s="34">
        <v>2.3911387329590998</v>
      </c>
      <c r="Y66" s="34">
        <v>2.38188334875188</v>
      </c>
      <c r="Z66" s="34">
        <v>2.3844069083766</v>
      </c>
      <c r="AA66" s="34">
        <v>2.3819343760685601</v>
      </c>
      <c r="AB66" s="33">
        <v>118.808341435744</v>
      </c>
      <c r="AC66" s="33">
        <v>118.87940575158601</v>
      </c>
      <c r="AD66" s="33">
        <v>118.774415090777</v>
      </c>
      <c r="AE66" s="15">
        <v>-3.8782120213381802E-3</v>
      </c>
      <c r="AF66" s="15">
        <v>-3.2802483584971E-3</v>
      </c>
      <c r="AG66" s="15">
        <v>-4.16380804432347E-3</v>
      </c>
      <c r="AI66" s="12"/>
      <c r="AJ66">
        <f t="shared" si="6"/>
        <v>1</v>
      </c>
      <c r="AK66">
        <f t="shared" si="7"/>
        <v>0</v>
      </c>
      <c r="AL66">
        <f t="shared" si="14"/>
        <v>1</v>
      </c>
      <c r="AM66">
        <f t="shared" si="4"/>
        <v>1</v>
      </c>
      <c r="AN66">
        <f t="shared" si="15"/>
        <v>1</v>
      </c>
      <c r="AO66" s="28">
        <f t="shared" si="8"/>
        <v>0</v>
      </c>
      <c r="AP66" s="28">
        <f t="shared" si="9"/>
        <v>-1.09055839003633E-3</v>
      </c>
      <c r="AQ66" s="28">
        <f t="shared" si="16"/>
        <v>-1.09055839003633E-3</v>
      </c>
      <c r="AR66" s="29">
        <f t="shared" si="17"/>
        <v>1.3929724350948355E-2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-7.8856003565743208E-4</v>
      </c>
      <c r="BE66" s="29">
        <f t="shared" si="22"/>
        <v>-1.09055839003633E-3</v>
      </c>
      <c r="BF66" s="29">
        <f t="shared" si="23"/>
        <v>1.3141164315290922E-2</v>
      </c>
      <c r="BH66" s="29"/>
    </row>
    <row r="67" spans="1:60" x14ac:dyDescent="0.25">
      <c r="A67" s="1">
        <v>46120</v>
      </c>
      <c r="B67" s="33">
        <v>51.2</v>
      </c>
      <c r="C67" s="33">
        <v>122.4</v>
      </c>
      <c r="D67" s="15">
        <v>2.6119411233626301E-2</v>
      </c>
      <c r="E67" s="15">
        <v>2.59045394876481E-2</v>
      </c>
      <c r="F67" s="33">
        <v>0</v>
      </c>
      <c r="G67" s="33">
        <v>0.25148999999999999</v>
      </c>
      <c r="H67" s="33">
        <v>0</v>
      </c>
      <c r="I67" s="33">
        <v>0.57623199999999997</v>
      </c>
      <c r="J67" s="33">
        <v>0</v>
      </c>
      <c r="K67" s="33">
        <v>0</v>
      </c>
      <c r="L67" s="33">
        <v>51.2</v>
      </c>
      <c r="M67" s="33">
        <v>122.4</v>
      </c>
      <c r="N67" s="34">
        <v>2.390625</v>
      </c>
      <c r="O67" s="34">
        <v>2.3814540004427101</v>
      </c>
      <c r="P67" s="34">
        <v>2.3854012265584199</v>
      </c>
      <c r="Q67" s="34">
        <v>2.3802634097261</v>
      </c>
      <c r="R67" s="33">
        <v>121.930444822667</v>
      </c>
      <c r="S67" s="33">
        <v>122.08163370888199</v>
      </c>
      <c r="T67" s="33">
        <v>121.83498398109199</v>
      </c>
      <c r="U67" s="15">
        <v>-3.84361233205395E-3</v>
      </c>
      <c r="V67" s="15">
        <v>-2.6044203504748402E-3</v>
      </c>
      <c r="W67" s="15">
        <v>-4.6268312398604298E-3</v>
      </c>
      <c r="X67" s="34">
        <v>2.390625</v>
      </c>
      <c r="Y67" s="34">
        <v>2.38188334875188</v>
      </c>
      <c r="Z67" s="34">
        <v>2.3854012265584199</v>
      </c>
      <c r="AA67" s="34">
        <v>2.3826082549139498</v>
      </c>
      <c r="AB67" s="33">
        <v>121.952427456096</v>
      </c>
      <c r="AC67" s="33">
        <v>122.08163370888199</v>
      </c>
      <c r="AD67" s="33">
        <v>121.95504005471</v>
      </c>
      <c r="AE67" s="15">
        <v>-3.6633402753599299E-3</v>
      </c>
      <c r="AF67" s="15">
        <v>-2.6044203504748402E-3</v>
      </c>
      <c r="AG67" s="15">
        <v>-3.6419174083950098E-3</v>
      </c>
      <c r="AI67" s="12"/>
      <c r="AJ67">
        <f t="shared" si="6"/>
        <v>0</v>
      </c>
      <c r="AK67">
        <f t="shared" si="7"/>
        <v>0</v>
      </c>
      <c r="AL67">
        <f t="shared" si="14"/>
        <v>1</v>
      </c>
      <c r="AM67">
        <f t="shared" si="4"/>
        <v>1</v>
      </c>
      <c r="AN67">
        <f t="shared" si="15"/>
        <v>1</v>
      </c>
      <c r="AO67" s="28">
        <f t="shared" si="8"/>
        <v>2.6119411233626301E-2</v>
      </c>
      <c r="AP67" s="28">
        <f t="shared" si="9"/>
        <v>-2.59045394876481E-2</v>
      </c>
      <c r="AQ67" s="28">
        <f t="shared" si="16"/>
        <v>2.1487174597820125E-4</v>
      </c>
      <c r="AR67" s="29">
        <f t="shared" si="17"/>
        <v>1.4144596096926556E-2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-7.8856003565743208E-4</v>
      </c>
      <c r="BE67" s="29">
        <f t="shared" si="22"/>
        <v>2.1487174597820125E-4</v>
      </c>
      <c r="BF67" s="29">
        <f t="shared" si="23"/>
        <v>1.3356036061269123E-2</v>
      </c>
      <c r="BH67" s="29"/>
    </row>
    <row r="68" spans="1:60" x14ac:dyDescent="0.25">
      <c r="A68" s="1">
        <v>46121</v>
      </c>
      <c r="B68" s="33">
        <v>51.33</v>
      </c>
      <c r="C68" s="33">
        <v>122.82</v>
      </c>
      <c r="D68" s="15">
        <v>2.5358445267496098E-3</v>
      </c>
      <c r="E68" s="15">
        <v>3.4254988230274399E-3</v>
      </c>
      <c r="F68" s="33">
        <v>0</v>
      </c>
      <c r="G68" s="33">
        <v>0.25148999999999999</v>
      </c>
      <c r="H68" s="33">
        <v>0</v>
      </c>
      <c r="I68" s="33">
        <v>0.57623199999999997</v>
      </c>
      <c r="J68" s="33">
        <v>0</v>
      </c>
      <c r="K68" s="33">
        <v>0</v>
      </c>
      <c r="L68" s="33">
        <v>51.33</v>
      </c>
      <c r="M68" s="33">
        <v>122.82</v>
      </c>
      <c r="N68" s="34">
        <v>2.3927527761542899</v>
      </c>
      <c r="O68" s="34">
        <v>2.3814540004427101</v>
      </c>
      <c r="P68" s="34">
        <v>2.3867154178341701</v>
      </c>
      <c r="Q68" s="34">
        <v>2.3809949244403401</v>
      </c>
      <c r="R68" s="33">
        <v>122.240033842724</v>
      </c>
      <c r="S68" s="33">
        <v>122.442644959243</v>
      </c>
      <c r="T68" s="33">
        <v>122.17892082124</v>
      </c>
      <c r="U68" s="15">
        <v>-4.7332666283315802E-3</v>
      </c>
      <c r="V68" s="15">
        <v>-3.0771529727177398E-3</v>
      </c>
      <c r="W68" s="15">
        <v>-5.2333344143296601E-3</v>
      </c>
      <c r="X68" s="34">
        <v>2.3927527761542899</v>
      </c>
      <c r="Y68" s="34">
        <v>2.38188334875188</v>
      </c>
      <c r="Z68" s="34">
        <v>2.3867154178341701</v>
      </c>
      <c r="AA68" s="34">
        <v>2.3833397696281899</v>
      </c>
      <c r="AB68" s="33">
        <v>122.262072291434</v>
      </c>
      <c r="AC68" s="33">
        <v>122.442644959243</v>
      </c>
      <c r="AD68" s="33">
        <v>122.29928172473301</v>
      </c>
      <c r="AE68" s="15">
        <v>-4.5529945716377002E-3</v>
      </c>
      <c r="AF68" s="15">
        <v>-3.0771529727177398E-3</v>
      </c>
      <c r="AG68" s="15">
        <v>-4.2486992856089097E-3</v>
      </c>
      <c r="AI68" s="12"/>
      <c r="AJ68">
        <f t="shared" si="6"/>
        <v>1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8">
        <f t="shared" si="8"/>
        <v>2.5358445267496098E-3</v>
      </c>
      <c r="AP68" s="28">
        <f t="shared" si="9"/>
        <v>-3.4254988230274399E-3</v>
      </c>
      <c r="AQ68" s="28">
        <f t="shared" si="16"/>
        <v>-8.896542962778301E-4</v>
      </c>
      <c r="AR68" s="29">
        <f t="shared" si="17"/>
        <v>1.3254941800648725E-2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-7.8856003565743208E-4</v>
      </c>
      <c r="BE68" s="29">
        <f t="shared" si="22"/>
        <v>-8.896542962778301E-4</v>
      </c>
      <c r="BF68" s="29">
        <f t="shared" si="23"/>
        <v>1.2466381764991293E-2</v>
      </c>
      <c r="BH68" s="29"/>
    </row>
    <row r="69" spans="1:60" x14ac:dyDescent="0.25">
      <c r="A69" s="1">
        <v>46122</v>
      </c>
      <c r="B69" s="33">
        <v>50.77</v>
      </c>
      <c r="C69" s="33">
        <v>121.51</v>
      </c>
      <c r="D69" s="15">
        <v>-1.09697476129087E-2</v>
      </c>
      <c r="E69" s="15">
        <v>-1.0723304980732699E-2</v>
      </c>
      <c r="F69" s="33">
        <v>0</v>
      </c>
      <c r="G69" s="33">
        <v>0.25148999999999999</v>
      </c>
      <c r="H69" s="33">
        <v>0</v>
      </c>
      <c r="I69" s="33">
        <v>0.57623199999999997</v>
      </c>
      <c r="J69" s="33">
        <v>0</v>
      </c>
      <c r="K69" s="33">
        <v>0</v>
      </c>
      <c r="L69" s="33">
        <v>50.77</v>
      </c>
      <c r="M69" s="33">
        <v>121.51</v>
      </c>
      <c r="N69" s="34">
        <v>2.3933425251132499</v>
      </c>
      <c r="O69" s="34">
        <v>2.3814540004427101</v>
      </c>
      <c r="P69" s="34">
        <v>2.3881087936890202</v>
      </c>
      <c r="Q69" s="34">
        <v>2.38178021575846</v>
      </c>
      <c r="R69" s="33">
        <v>120.90641960247601</v>
      </c>
      <c r="S69" s="33">
        <v>121.17354176344</v>
      </c>
      <c r="T69" s="33">
        <v>120.88311231383599</v>
      </c>
      <c r="U69" s="15">
        <v>-4.9797092605077496E-3</v>
      </c>
      <c r="V69" s="15">
        <v>-2.7728163985591002E-3</v>
      </c>
      <c r="W69" s="15">
        <v>-5.1724991511863097E-3</v>
      </c>
      <c r="X69" s="34">
        <v>2.3933425251132499</v>
      </c>
      <c r="Y69" s="34">
        <v>2.38188334875188</v>
      </c>
      <c r="Z69" s="34">
        <v>2.3881087936890202</v>
      </c>
      <c r="AA69" s="34">
        <v>2.3841250609463098</v>
      </c>
      <c r="AB69" s="33">
        <v>120.928217616133</v>
      </c>
      <c r="AC69" s="33">
        <v>121.17354176344</v>
      </c>
      <c r="AD69" s="33">
        <v>121.00216010402301</v>
      </c>
      <c r="AE69" s="15">
        <v>-4.79943720381369E-3</v>
      </c>
      <c r="AF69" s="15">
        <v>-2.7728163985588799E-3</v>
      </c>
      <c r="AG69" s="15">
        <v>-4.1881663837594601E-3</v>
      </c>
      <c r="AI69" s="12"/>
      <c r="AJ69">
        <f t="shared" si="6"/>
        <v>1</v>
      </c>
      <c r="AK69">
        <f t="shared" si="7"/>
        <v>0</v>
      </c>
      <c r="AL69">
        <f t="shared" si="14"/>
        <v>1</v>
      </c>
      <c r="AM69">
        <f t="shared" si="4"/>
        <v>1</v>
      </c>
      <c r="AN69">
        <f t="shared" si="15"/>
        <v>1</v>
      </c>
      <c r="AO69" s="28">
        <f t="shared" si="8"/>
        <v>-1.09697476129087E-2</v>
      </c>
      <c r="AP69" s="28">
        <f t="shared" si="9"/>
        <v>1.0723304980732699E-2</v>
      </c>
      <c r="AQ69" s="28">
        <f t="shared" si="16"/>
        <v>-2.4644263217600028E-4</v>
      </c>
      <c r="AR69" s="29">
        <f t="shared" si="17"/>
        <v>1.3008499168472725E-2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-7.8856003565743208E-4</v>
      </c>
      <c r="BE69" s="29">
        <f t="shared" si="22"/>
        <v>-2.4644263217600028E-4</v>
      </c>
      <c r="BF69" s="29">
        <f t="shared" si="23"/>
        <v>1.2219939132815293E-2</v>
      </c>
      <c r="BH69" s="29"/>
    </row>
    <row r="70" spans="1:60" x14ac:dyDescent="0.25">
      <c r="A70" s="1">
        <v>46125</v>
      </c>
      <c r="B70" s="33">
        <v>51.66</v>
      </c>
      <c r="C70" s="33">
        <v>123.52</v>
      </c>
      <c r="D70" s="15">
        <v>1.7378158708391302E-2</v>
      </c>
      <c r="E70" s="15">
        <v>1.6406522355945499E-2</v>
      </c>
      <c r="F70" s="33">
        <v>0</v>
      </c>
      <c r="G70" s="33">
        <v>0.25148999999999999</v>
      </c>
      <c r="H70" s="33">
        <v>0</v>
      </c>
      <c r="I70" s="33">
        <v>0.57623199999999997</v>
      </c>
      <c r="J70" s="33">
        <v>0</v>
      </c>
      <c r="K70" s="33">
        <v>0</v>
      </c>
      <c r="L70" s="33">
        <v>51.66</v>
      </c>
      <c r="M70" s="33">
        <v>123.52</v>
      </c>
      <c r="N70" s="34">
        <v>2.39101819589624</v>
      </c>
      <c r="O70" s="34">
        <v>2.3814540004427101</v>
      </c>
      <c r="P70" s="34">
        <v>2.38880860533052</v>
      </c>
      <c r="Q70" s="34">
        <v>2.3826156418142701</v>
      </c>
      <c r="R70" s="33">
        <v>123.02591366287</v>
      </c>
      <c r="S70" s="33">
        <v>123.369700281974</v>
      </c>
      <c r="T70" s="33">
        <v>123.042765946082</v>
      </c>
      <c r="U70" s="15">
        <v>-4.0080729080618997E-3</v>
      </c>
      <c r="V70" s="15">
        <v>-1.2175456199316501E-3</v>
      </c>
      <c r="W70" s="15">
        <v>-3.8711007158689702E-3</v>
      </c>
      <c r="X70" s="34">
        <v>2.39101819589624</v>
      </c>
      <c r="Y70" s="34">
        <v>2.38188334875188</v>
      </c>
      <c r="Z70" s="34">
        <v>2.38880860533052</v>
      </c>
      <c r="AA70" s="34">
        <v>2.3849604870021199</v>
      </c>
      <c r="AB70" s="33">
        <v>123.048093796522</v>
      </c>
      <c r="AC70" s="33">
        <v>123.369700281974</v>
      </c>
      <c r="AD70" s="33">
        <v>123.16390064848601</v>
      </c>
      <c r="AE70" s="15">
        <v>-3.8278008513679498E-3</v>
      </c>
      <c r="AF70" s="15">
        <v>-1.2175456199316501E-3</v>
      </c>
      <c r="AG70" s="15">
        <v>-2.8870923309282401E-3</v>
      </c>
      <c r="AI70" s="12"/>
      <c r="AJ70">
        <f t="shared" si="6"/>
        <v>0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8">
        <f t="shared" si="8"/>
        <v>1.7378158708391302E-2</v>
      </c>
      <c r="AP70" s="28">
        <f t="shared" si="9"/>
        <v>-1.6406522355945499E-2</v>
      </c>
      <c r="AQ70" s="28">
        <f t="shared" si="16"/>
        <v>9.7163635244580313E-4</v>
      </c>
      <c r="AR70" s="29">
        <f t="shared" si="17"/>
        <v>1.3980135520918528E-2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-7.8856003565743208E-4</v>
      </c>
      <c r="BE70" s="29">
        <f t="shared" si="22"/>
        <v>9.7163635244580313E-4</v>
      </c>
      <c r="BF70" s="29">
        <f t="shared" si="23"/>
        <v>1.3191575485261096E-2</v>
      </c>
      <c r="BH70" s="29"/>
    </row>
    <row r="71" spans="1:60" x14ac:dyDescent="0.25">
      <c r="A71" s="1">
        <v>46126</v>
      </c>
      <c r="B71" s="33">
        <v>51.78</v>
      </c>
      <c r="C71" s="33">
        <v>123.84</v>
      </c>
      <c r="D71" s="15">
        <v>2.32018665569712E-3</v>
      </c>
      <c r="E71" s="15">
        <v>2.5873235649509501E-3</v>
      </c>
      <c r="F71" s="33">
        <v>0</v>
      </c>
      <c r="G71" s="33">
        <v>0.25148999999999999</v>
      </c>
      <c r="H71" s="33">
        <v>0</v>
      </c>
      <c r="I71" s="33">
        <v>0.57623199999999997</v>
      </c>
      <c r="J71" s="33">
        <v>0</v>
      </c>
      <c r="K71" s="33">
        <v>0</v>
      </c>
      <c r="L71" s="33">
        <v>51.78</v>
      </c>
      <c r="M71" s="33">
        <v>123.84</v>
      </c>
      <c r="N71" s="34">
        <v>2.3916570104287298</v>
      </c>
      <c r="O71" s="34">
        <v>2.3814540004427101</v>
      </c>
      <c r="P71" s="34">
        <v>2.3900710805669401</v>
      </c>
      <c r="Q71" s="34">
        <v>2.3834865247900701</v>
      </c>
      <c r="R71" s="33">
        <v>123.311688142923</v>
      </c>
      <c r="S71" s="33">
        <v>123.692509584014</v>
      </c>
      <c r="T71" s="33">
        <v>123.371837933143</v>
      </c>
      <c r="U71" s="15">
        <v>-4.2752098173156998E-3</v>
      </c>
      <c r="V71" s="15">
        <v>-1.1916853563030501E-3</v>
      </c>
      <c r="W71" s="15">
        <v>-3.7875421374499799E-3</v>
      </c>
      <c r="X71" s="34">
        <v>2.3916570104287298</v>
      </c>
      <c r="Y71" s="34">
        <v>2.38188334875188</v>
      </c>
      <c r="Z71" s="34">
        <v>2.3900710805669401</v>
      </c>
      <c r="AA71" s="34">
        <v>2.3858313699779199</v>
      </c>
      <c r="AB71" s="33">
        <v>123.33391979837199</v>
      </c>
      <c r="AC71" s="33">
        <v>123.692509584014</v>
      </c>
      <c r="AD71" s="33">
        <v>123.49325401697</v>
      </c>
      <c r="AE71" s="15">
        <v>-4.0949377606217599E-3</v>
      </c>
      <c r="AF71" s="15">
        <v>-1.1916853563030501E-3</v>
      </c>
      <c r="AG71" s="15">
        <v>-2.8038786096668102E-3</v>
      </c>
      <c r="AI71" s="12"/>
      <c r="AJ71">
        <f t="shared" si="6"/>
        <v>0</v>
      </c>
      <c r="AK71">
        <f t="shared" si="7"/>
        <v>0</v>
      </c>
      <c r="AL71">
        <f t="shared" si="14"/>
        <v>1</v>
      </c>
      <c r="AM71">
        <f t="shared" si="4"/>
        <v>1</v>
      </c>
      <c r="AN71">
        <f t="shared" si="15"/>
        <v>1</v>
      </c>
      <c r="AO71" s="28">
        <f t="shared" si="8"/>
        <v>2.32018665569712E-3</v>
      </c>
      <c r="AP71" s="28">
        <f t="shared" si="9"/>
        <v>-2.5873235649509501E-3</v>
      </c>
      <c r="AQ71" s="28">
        <f t="shared" si="16"/>
        <v>-2.6713690925383006E-4</v>
      </c>
      <c r="AR71" s="29">
        <f t="shared" si="17"/>
        <v>1.3712998611664699E-2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-7.8856003565743208E-4</v>
      </c>
      <c r="BE71" s="29">
        <f t="shared" si="22"/>
        <v>-2.6713690925383006E-4</v>
      </c>
      <c r="BF71" s="29">
        <f t="shared" si="23"/>
        <v>1.2924438576007266E-2</v>
      </c>
      <c r="BH71" s="29"/>
    </row>
    <row r="72" spans="1:60" x14ac:dyDescent="0.25">
      <c r="A72" s="1">
        <v>46127</v>
      </c>
      <c r="B72" s="33">
        <v>52.17</v>
      </c>
      <c r="C72" s="33">
        <v>124.64</v>
      </c>
      <c r="D72" s="15">
        <v>7.5036427109096901E-3</v>
      </c>
      <c r="E72" s="15">
        <v>6.4391722810212297E-3</v>
      </c>
      <c r="F72" s="33">
        <v>0</v>
      </c>
      <c r="G72" s="33">
        <v>0.25148999999999999</v>
      </c>
      <c r="H72" s="33">
        <v>0</v>
      </c>
      <c r="I72" s="33">
        <v>0.57623199999999997</v>
      </c>
      <c r="J72" s="33">
        <v>0</v>
      </c>
      <c r="K72" s="33">
        <v>0</v>
      </c>
      <c r="L72" s="33">
        <v>52.17</v>
      </c>
      <c r="M72" s="33">
        <v>124.64</v>
      </c>
      <c r="N72" s="34">
        <v>2.3891125167720899</v>
      </c>
      <c r="O72" s="34">
        <v>2.3814540004427101</v>
      </c>
      <c r="P72" s="34">
        <v>2.3906594641056</v>
      </c>
      <c r="Q72" s="34">
        <v>2.3845603911452198</v>
      </c>
      <c r="R72" s="33">
        <v>124.240455203096</v>
      </c>
      <c r="S72" s="33">
        <v>124.690008273177</v>
      </c>
      <c r="T72" s="33">
        <v>124.346491998297</v>
      </c>
      <c r="U72" s="15">
        <v>-3.2107393874270199E-3</v>
      </c>
      <c r="V72" s="15">
        <v>4.0114123602127798E-4</v>
      </c>
      <c r="W72" s="15">
        <v>-2.3576229802585399E-3</v>
      </c>
      <c r="X72" s="34">
        <v>2.3891125167720899</v>
      </c>
      <c r="Y72" s="34">
        <v>2.38188334875188</v>
      </c>
      <c r="Z72" s="34">
        <v>2.3906594641056</v>
      </c>
      <c r="AA72" s="34">
        <v>2.3863238884718898</v>
      </c>
      <c r="AB72" s="33">
        <v>124.262854304385</v>
      </c>
      <c r="AC72" s="33">
        <v>124.690008273177</v>
      </c>
      <c r="AD72" s="33">
        <v>124.46882257174801</v>
      </c>
      <c r="AE72" s="15">
        <v>-3.03046733073311E-3</v>
      </c>
      <c r="AF72" s="15">
        <v>4.0114123602127798E-4</v>
      </c>
      <c r="AG72" s="15">
        <v>-1.3743186887339701E-3</v>
      </c>
      <c r="AI72" s="12"/>
      <c r="AJ72">
        <f t="shared" si="6"/>
        <v>0</v>
      </c>
      <c r="AK72">
        <f t="shared" si="7"/>
        <v>0</v>
      </c>
      <c r="AL72">
        <f t="shared" si="14"/>
        <v>1</v>
      </c>
      <c r="AM72">
        <f t="shared" si="4"/>
        <v>1</v>
      </c>
      <c r="AN72">
        <f t="shared" si="15"/>
        <v>1</v>
      </c>
      <c r="AO72" s="28">
        <f t="shared" si="8"/>
        <v>7.5036427109096901E-3</v>
      </c>
      <c r="AP72" s="28">
        <f t="shared" si="9"/>
        <v>-6.4391722810212297E-3</v>
      </c>
      <c r="AQ72" s="28">
        <f t="shared" si="16"/>
        <v>1.0644704298884604E-3</v>
      </c>
      <c r="AR72" s="29">
        <f t="shared" si="17"/>
        <v>1.4777469041553158E-2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-7.8856003565743208E-4</v>
      </c>
      <c r="BE72" s="29">
        <f t="shared" si="22"/>
        <v>1.0644704298884604E-3</v>
      </c>
      <c r="BF72" s="29">
        <f t="shared" si="23"/>
        <v>1.3988909005895726E-2</v>
      </c>
      <c r="BH72" s="29"/>
    </row>
    <row r="73" spans="1:60" x14ac:dyDescent="0.25">
      <c r="A73" s="1">
        <v>46128</v>
      </c>
      <c r="B73" s="33">
        <v>52.03</v>
      </c>
      <c r="C73" s="33">
        <v>124.28</v>
      </c>
      <c r="D73" s="15">
        <v>-2.6871417320891702E-3</v>
      </c>
      <c r="E73" s="15">
        <v>-2.8924975975914498E-3</v>
      </c>
      <c r="F73" s="33">
        <v>0</v>
      </c>
      <c r="G73" s="33">
        <v>0.25148999999999999</v>
      </c>
      <c r="H73" s="33">
        <v>0</v>
      </c>
      <c r="I73" s="33">
        <v>0.57623199999999997</v>
      </c>
      <c r="J73" s="33">
        <v>0</v>
      </c>
      <c r="K73" s="33">
        <v>0</v>
      </c>
      <c r="L73" s="33">
        <v>52.03</v>
      </c>
      <c r="M73" s="33">
        <v>124.28</v>
      </c>
      <c r="N73" s="34">
        <v>2.3886219488756399</v>
      </c>
      <c r="O73" s="34">
        <v>2.3814540004427101</v>
      </c>
      <c r="P73" s="34">
        <v>2.3907271606112901</v>
      </c>
      <c r="Q73" s="34">
        <v>2.3852044761323898</v>
      </c>
      <c r="R73" s="33">
        <v>123.90705164303399</v>
      </c>
      <c r="S73" s="33">
        <v>124.386011917414</v>
      </c>
      <c r="T73" s="33">
        <v>124.068677151285</v>
      </c>
      <c r="U73" s="15">
        <v>-3.0053835219248301E-3</v>
      </c>
      <c r="V73" s="15">
        <v>8.5264506411459695E-4</v>
      </c>
      <c r="W73" s="15">
        <v>-1.7018242427624701E-3</v>
      </c>
      <c r="X73" s="34">
        <v>2.3886219488756399</v>
      </c>
      <c r="Y73" s="34">
        <v>2.38188334875188</v>
      </c>
      <c r="Z73" s="34">
        <v>2.3907271606112901</v>
      </c>
      <c r="AA73" s="34">
        <v>2.3863796214067898</v>
      </c>
      <c r="AB73" s="33">
        <v>123.92939063556</v>
      </c>
      <c r="AC73" s="33">
        <v>124.386011917414</v>
      </c>
      <c r="AD73" s="33">
        <v>124.160431917192</v>
      </c>
      <c r="AE73" s="15">
        <v>-2.8251114652308399E-3</v>
      </c>
      <c r="AF73" s="15">
        <v>8.5264506411459695E-4</v>
      </c>
      <c r="AG73" s="15">
        <v>-9.6254938148640197E-4</v>
      </c>
      <c r="AI73" s="12"/>
      <c r="AJ73">
        <f t="shared" si="6"/>
        <v>0</v>
      </c>
      <c r="AK73">
        <f t="shared" si="7"/>
        <v>1</v>
      </c>
      <c r="AL73">
        <f t="shared" si="14"/>
        <v>1</v>
      </c>
      <c r="AM73">
        <f t="shared" si="4"/>
        <v>1</v>
      </c>
      <c r="AN73">
        <f t="shared" si="15"/>
        <v>1</v>
      </c>
      <c r="AO73" s="28">
        <f t="shared" si="8"/>
        <v>-2.6871417320891702E-3</v>
      </c>
      <c r="AP73" s="28">
        <f t="shared" si="9"/>
        <v>2.8924975975914498E-3</v>
      </c>
      <c r="AQ73" s="28">
        <f t="shared" si="16"/>
        <v>2.053558655022796E-4</v>
      </c>
      <c r="AR73" s="29">
        <f t="shared" si="17"/>
        <v>1.4982824907055438E-2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-7.8856003565743208E-4</v>
      </c>
      <c r="BE73" s="29">
        <f t="shared" si="22"/>
        <v>2.053558655022796E-4</v>
      </c>
      <c r="BF73" s="29">
        <f t="shared" si="23"/>
        <v>1.4194264871398006E-2</v>
      </c>
      <c r="BH73" s="29"/>
    </row>
    <row r="74" spans="1:60" x14ac:dyDescent="0.25">
      <c r="A74" s="1">
        <v>46129</v>
      </c>
      <c r="B74" s="33">
        <v>52.43</v>
      </c>
      <c r="C74" s="33">
        <v>125.34</v>
      </c>
      <c r="D74" s="15">
        <v>7.6584712822293103E-3</v>
      </c>
      <c r="E74" s="15">
        <v>8.4929602716828593E-3</v>
      </c>
      <c r="F74" s="33">
        <v>0</v>
      </c>
      <c r="G74" s="33">
        <v>0.25148999999999999</v>
      </c>
      <c r="H74" s="33">
        <v>0</v>
      </c>
      <c r="I74" s="33">
        <v>0.57623199999999997</v>
      </c>
      <c r="J74" s="33">
        <v>0</v>
      </c>
      <c r="K74" s="33">
        <v>0</v>
      </c>
      <c r="L74" s="33">
        <v>52.43</v>
      </c>
      <c r="M74" s="33">
        <v>125.34</v>
      </c>
      <c r="N74" s="34">
        <v>2.3906160595079098</v>
      </c>
      <c r="O74" s="34">
        <v>2.3814540004427101</v>
      </c>
      <c r="P74" s="34">
        <v>2.3907417243654301</v>
      </c>
      <c r="Q74" s="34">
        <v>2.3860171733719202</v>
      </c>
      <c r="R74" s="33">
        <v>124.85963324321099</v>
      </c>
      <c r="S74" s="33">
        <v>125.34582503084999</v>
      </c>
      <c r="T74" s="33">
        <v>125.05627068362099</v>
      </c>
      <c r="U74" s="15">
        <v>-3.83987251137837E-3</v>
      </c>
      <c r="V74" s="15">
        <v>4.6472758086174501E-5</v>
      </c>
      <c r="W74" s="15">
        <v>-2.2662433193321799E-3</v>
      </c>
      <c r="X74" s="34">
        <v>2.3906160595079098</v>
      </c>
      <c r="Y74" s="34">
        <v>2.38188334875188</v>
      </c>
      <c r="Z74" s="34">
        <v>2.3907417243654301</v>
      </c>
      <c r="AA74" s="34">
        <v>2.3866042067867599</v>
      </c>
      <c r="AB74" s="33">
        <v>124.882143975061</v>
      </c>
      <c r="AC74" s="33">
        <v>125.34582503084999</v>
      </c>
      <c r="AD74" s="33">
        <v>125.117883550358</v>
      </c>
      <c r="AE74" s="15">
        <v>-3.6596004546843599E-3</v>
      </c>
      <c r="AF74" s="15">
        <v>4.6472758086174501E-5</v>
      </c>
      <c r="AG74" s="15">
        <v>-1.7736835009853401E-3</v>
      </c>
      <c r="AI74" s="12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1.4982824907055438E-2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-7.8856003565743208E-4</v>
      </c>
      <c r="BE74" s="29">
        <f t="shared" si="22"/>
        <v>0</v>
      </c>
      <c r="BF74" s="29">
        <f t="shared" si="23"/>
        <v>1.4194264871398006E-2</v>
      </c>
      <c r="BH74" s="29"/>
    </row>
    <row r="75" spans="1:60" x14ac:dyDescent="0.25">
      <c r="A75" s="1">
        <v>46132</v>
      </c>
      <c r="B75" s="33">
        <v>52.63</v>
      </c>
      <c r="C75" s="33">
        <v>125.87</v>
      </c>
      <c r="D75" s="15">
        <v>3.80735278124622E-3</v>
      </c>
      <c r="E75" s="15">
        <v>4.2195835068841898E-3</v>
      </c>
      <c r="F75" s="33">
        <v>0</v>
      </c>
      <c r="G75" s="33">
        <v>0.25148999999999999</v>
      </c>
      <c r="H75" s="33">
        <v>0</v>
      </c>
      <c r="I75" s="33">
        <v>0.57623199999999997</v>
      </c>
      <c r="J75" s="33">
        <v>0</v>
      </c>
      <c r="K75" s="33">
        <v>0</v>
      </c>
      <c r="L75" s="33">
        <v>52.63</v>
      </c>
      <c r="M75" s="33">
        <v>125.87</v>
      </c>
      <c r="N75" s="34">
        <v>2.3916017480524401</v>
      </c>
      <c r="O75" s="34">
        <v>2.3814540004427101</v>
      </c>
      <c r="P75" s="34">
        <v>2.3910486513759701</v>
      </c>
      <c r="Q75" s="34">
        <v>2.38717835286909</v>
      </c>
      <c r="R75" s="33">
        <v>125.3359240433</v>
      </c>
      <c r="S75" s="33">
        <v>125.824736953352</v>
      </c>
      <c r="T75" s="33">
        <v>125.576083834564</v>
      </c>
      <c r="U75" s="15">
        <v>-4.2521032370163303E-3</v>
      </c>
      <c r="V75" s="15">
        <v>-3.5966621855425799E-4</v>
      </c>
      <c r="W75" s="15">
        <v>-2.3378077305157099E-3</v>
      </c>
      <c r="X75" s="34">
        <v>2.3916017480524401</v>
      </c>
      <c r="Y75" s="34">
        <v>2.38188334875188</v>
      </c>
      <c r="Z75" s="34">
        <v>2.3910486513759701</v>
      </c>
      <c r="AA75" s="34">
        <v>2.38717835286909</v>
      </c>
      <c r="AB75" s="33">
        <v>125.35852064481099</v>
      </c>
      <c r="AC75" s="33">
        <v>125.824736953352</v>
      </c>
      <c r="AD75" s="33">
        <v>125.606979403187</v>
      </c>
      <c r="AE75" s="15">
        <v>-4.0718311803222898E-3</v>
      </c>
      <c r="AF75" s="15">
        <v>-3.5966621855425799E-4</v>
      </c>
      <c r="AG75" s="15">
        <v>-2.0918073164732701E-3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1.4982824907055438E-2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-7.8856003565743208E-4</v>
      </c>
      <c r="BE75" s="29">
        <f t="shared" si="22"/>
        <v>0</v>
      </c>
      <c r="BF75" s="29">
        <f t="shared" si="23"/>
        <v>1.4194264871398006E-2</v>
      </c>
      <c r="BH75" s="29"/>
    </row>
    <row r="76" spans="1:60" x14ac:dyDescent="0.25">
      <c r="A76" s="1">
        <v>46133</v>
      </c>
      <c r="B76" s="33">
        <v>52.3</v>
      </c>
      <c r="C76" s="33">
        <v>125.29</v>
      </c>
      <c r="D76" s="15">
        <v>-6.28992829481048E-3</v>
      </c>
      <c r="E76" s="15">
        <v>-4.6185780459522402E-3</v>
      </c>
      <c r="F76" s="33">
        <v>0</v>
      </c>
      <c r="G76" s="33">
        <v>0.25148999999999999</v>
      </c>
      <c r="H76" s="33">
        <v>0</v>
      </c>
      <c r="I76" s="33">
        <v>0.57623199999999997</v>
      </c>
      <c r="J76" s="33">
        <v>0</v>
      </c>
      <c r="K76" s="33">
        <v>0</v>
      </c>
      <c r="L76" s="33">
        <v>52.3</v>
      </c>
      <c r="M76" s="33">
        <v>125.29</v>
      </c>
      <c r="N76" s="34">
        <v>2.3956022944550601</v>
      </c>
      <c r="O76" s="34">
        <v>2.3814540004427101</v>
      </c>
      <c r="P76" s="34">
        <v>2.3914950075255601</v>
      </c>
      <c r="Q76" s="34">
        <v>2.3879509579510798</v>
      </c>
      <c r="R76" s="33">
        <v>124.550044223154</v>
      </c>
      <c r="S76" s="33">
        <v>125.051844466963</v>
      </c>
      <c r="T76" s="33">
        <v>124.84942785505299</v>
      </c>
      <c r="U76" s="15">
        <v>-5.9234534858745198E-3</v>
      </c>
      <c r="V76" s="15">
        <v>-1.9026432068383E-3</v>
      </c>
      <c r="W76" s="15">
        <v>-3.52261620094292E-3</v>
      </c>
      <c r="X76" s="34">
        <v>2.3956022944550601</v>
      </c>
      <c r="Y76" s="34">
        <v>2.38188334875188</v>
      </c>
      <c r="Z76" s="34">
        <v>2.3914950075255601</v>
      </c>
      <c r="AA76" s="34">
        <v>2.3879509579510798</v>
      </c>
      <c r="AB76" s="33">
        <v>124.57249913972301</v>
      </c>
      <c r="AC76" s="33">
        <v>125.051844466963</v>
      </c>
      <c r="AD76" s="33">
        <v>124.84942785505299</v>
      </c>
      <c r="AE76" s="15">
        <v>-5.7431814291805496E-3</v>
      </c>
      <c r="AF76" s="15">
        <v>-1.9026432068383E-3</v>
      </c>
      <c r="AG76" s="15">
        <v>-3.52261620094292E-3</v>
      </c>
      <c r="AI76" s="12"/>
      <c r="AJ76">
        <f t="shared" si="6"/>
        <v>0</v>
      </c>
      <c r="AK76">
        <f t="shared" si="7"/>
        <v>0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1.4982824907055438E-2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-7.8856003565743208E-4</v>
      </c>
      <c r="BE76" s="29">
        <f t="shared" si="22"/>
        <v>0</v>
      </c>
      <c r="BF76" s="29">
        <f t="shared" si="23"/>
        <v>1.4194264871398006E-2</v>
      </c>
      <c r="BH76" s="29"/>
    </row>
    <row r="77" spans="1:60" x14ac:dyDescent="0.25">
      <c r="A77" s="1">
        <v>46134</v>
      </c>
      <c r="B77" s="33">
        <v>52.21</v>
      </c>
      <c r="C77" s="33">
        <v>124.91</v>
      </c>
      <c r="D77" s="15">
        <v>-1.72232364841613E-3</v>
      </c>
      <c r="E77" s="15">
        <v>-3.03757227964344E-3</v>
      </c>
      <c r="F77" s="33">
        <v>0</v>
      </c>
      <c r="G77" s="33">
        <v>0.25148999999999999</v>
      </c>
      <c r="H77" s="33">
        <v>0</v>
      </c>
      <c r="I77" s="33">
        <v>0.57623199999999997</v>
      </c>
      <c r="J77" s="33">
        <v>0</v>
      </c>
      <c r="K77" s="33">
        <v>0</v>
      </c>
      <c r="L77" s="33">
        <v>52.21</v>
      </c>
      <c r="M77" s="33">
        <v>124.91</v>
      </c>
      <c r="N77" s="34">
        <v>2.3924535529591999</v>
      </c>
      <c r="O77" s="34">
        <v>2.3814540004427101</v>
      </c>
      <c r="P77" s="34">
        <v>2.3916778628214899</v>
      </c>
      <c r="Q77" s="34">
        <v>2.3885395446899498</v>
      </c>
      <c r="R77" s="33">
        <v>124.335713363114</v>
      </c>
      <c r="S77" s="33">
        <v>124.85995434290901</v>
      </c>
      <c r="T77" s="33">
        <v>124.674919514626</v>
      </c>
      <c r="U77" s="15">
        <v>-4.6082048546471103E-3</v>
      </c>
      <c r="V77" s="15">
        <v>-4.0073401055301802E-4</v>
      </c>
      <c r="W77" s="15">
        <v>-1.88377210728921E-3</v>
      </c>
      <c r="X77" s="34">
        <v>2.3924535529591999</v>
      </c>
      <c r="Y77" s="34">
        <v>2.38188334875188</v>
      </c>
      <c r="Z77" s="34">
        <v>2.3916778628214899</v>
      </c>
      <c r="AA77" s="34">
        <v>2.3885395446899498</v>
      </c>
      <c r="AB77" s="33">
        <v>124.358129638335</v>
      </c>
      <c r="AC77" s="33">
        <v>124.85995434290901</v>
      </c>
      <c r="AD77" s="33">
        <v>124.674919514626</v>
      </c>
      <c r="AE77" s="15">
        <v>-4.4279327979532502E-3</v>
      </c>
      <c r="AF77" s="15">
        <v>-4.0073401055301802E-4</v>
      </c>
      <c r="AG77" s="15">
        <v>-1.88377210728921E-3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1.4982824907055438E-2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-7.8856003565743208E-4</v>
      </c>
      <c r="BE77" s="29">
        <f t="shared" si="22"/>
        <v>0</v>
      </c>
      <c r="BF77" s="29">
        <f t="shared" si="23"/>
        <v>1.4194264871398006E-2</v>
      </c>
      <c r="BH77" s="29"/>
    </row>
    <row r="78" spans="1:60" x14ac:dyDescent="0.25">
      <c r="A78" s="1">
        <v>46135</v>
      </c>
      <c r="B78" s="33">
        <v>51.8</v>
      </c>
      <c r="C78" s="33">
        <v>124.19</v>
      </c>
      <c r="D78" s="15">
        <v>-7.88389815702366E-3</v>
      </c>
      <c r="E78" s="15">
        <v>-5.7808270178767197E-3</v>
      </c>
      <c r="F78" s="33">
        <v>0</v>
      </c>
      <c r="G78" s="33">
        <v>0.25148999999999999</v>
      </c>
      <c r="H78" s="33">
        <v>0</v>
      </c>
      <c r="I78" s="33">
        <v>0.57623199999999997</v>
      </c>
      <c r="J78" s="33">
        <v>0</v>
      </c>
      <c r="K78" s="33">
        <v>0</v>
      </c>
      <c r="L78" s="33">
        <v>51.8</v>
      </c>
      <c r="M78" s="33">
        <v>124.19</v>
      </c>
      <c r="N78" s="34">
        <v>2.39749034749034</v>
      </c>
      <c r="O78" s="34">
        <v>2.3814540004427101</v>
      </c>
      <c r="P78" s="34">
        <v>2.3921516199550901</v>
      </c>
      <c r="Q78" s="34">
        <v>2.3894335188946298</v>
      </c>
      <c r="R78" s="33">
        <v>123.35931722293201</v>
      </c>
      <c r="S78" s="33">
        <v>123.888913294153</v>
      </c>
      <c r="T78" s="33">
        <v>123.726348414939</v>
      </c>
      <c r="U78" s="15">
        <v>-6.7112759937941104E-3</v>
      </c>
      <c r="V78" s="15">
        <v>-2.4273474087962198E-3</v>
      </c>
      <c r="W78" s="15">
        <v>-3.74039169732358E-3</v>
      </c>
      <c r="X78" s="34">
        <v>2.39749034749034</v>
      </c>
      <c r="Y78" s="34">
        <v>2.38188334875188</v>
      </c>
      <c r="Z78" s="34">
        <v>2.3921516199550901</v>
      </c>
      <c r="AA78" s="34">
        <v>2.3894335188946298</v>
      </c>
      <c r="AB78" s="33">
        <v>123.381557465347</v>
      </c>
      <c r="AC78" s="33">
        <v>123.888913294153</v>
      </c>
      <c r="AD78" s="33">
        <v>123.726348414939</v>
      </c>
      <c r="AE78" s="15">
        <v>-6.5310039371001298E-3</v>
      </c>
      <c r="AF78" s="15">
        <v>-2.4273474087962198E-3</v>
      </c>
      <c r="AG78" s="15">
        <v>-3.74039169732358E-3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1.4982824907055438E-2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-7.8856003565743208E-4</v>
      </c>
      <c r="BE78" s="29">
        <f t="shared" si="22"/>
        <v>0</v>
      </c>
      <c r="BF78" s="29">
        <f t="shared" si="23"/>
        <v>1.4194264871398006E-2</v>
      </c>
      <c r="BH78" s="29"/>
    </row>
    <row r="79" spans="1:60" x14ac:dyDescent="0.25">
      <c r="A79" s="1">
        <v>46136</v>
      </c>
      <c r="B79" s="33">
        <v>51.42</v>
      </c>
      <c r="C79" s="33">
        <v>123.31</v>
      </c>
      <c r="D79" s="15">
        <v>-7.3629474276938897E-3</v>
      </c>
      <c r="E79" s="15">
        <v>-7.1111410775021198E-3</v>
      </c>
      <c r="F79" s="33">
        <v>0</v>
      </c>
      <c r="G79" s="33">
        <v>0.25148999999999999</v>
      </c>
      <c r="H79" s="33">
        <v>0</v>
      </c>
      <c r="I79" s="33">
        <v>0.57623199999999997</v>
      </c>
      <c r="J79" s="33">
        <v>0</v>
      </c>
      <c r="K79" s="33">
        <v>0</v>
      </c>
      <c r="L79" s="33">
        <v>51.42</v>
      </c>
      <c r="M79" s="33">
        <v>123.31</v>
      </c>
      <c r="N79" s="34">
        <v>2.39809412679891</v>
      </c>
      <c r="O79" s="34">
        <v>2.3814540004427101</v>
      </c>
      <c r="P79" s="34">
        <v>2.3926267801236598</v>
      </c>
      <c r="Q79" s="34">
        <v>2.39036778690634</v>
      </c>
      <c r="R79" s="33">
        <v>122.454364702764</v>
      </c>
      <c r="S79" s="33">
        <v>123.00443629809</v>
      </c>
      <c r="T79" s="33">
        <v>122.864671541562</v>
      </c>
      <c r="U79" s="15">
        <v>-6.9630823439859298E-3</v>
      </c>
      <c r="V79" s="15">
        <v>-2.48108769628261E-3</v>
      </c>
      <c r="W79" s="15">
        <v>-3.6179915782823899E-3</v>
      </c>
      <c r="X79" s="34">
        <v>2.39809412679891</v>
      </c>
      <c r="Y79" s="34">
        <v>2.38188334875188</v>
      </c>
      <c r="Z79" s="34">
        <v>2.3926267801236598</v>
      </c>
      <c r="AA79" s="34">
        <v>2.39036778690634</v>
      </c>
      <c r="AB79" s="33">
        <v>122.47644179282101</v>
      </c>
      <c r="AC79" s="33">
        <v>123.00443629809</v>
      </c>
      <c r="AD79" s="33">
        <v>122.864671541562</v>
      </c>
      <c r="AE79" s="15">
        <v>-6.7828102872919196E-3</v>
      </c>
      <c r="AF79" s="15">
        <v>-2.48108769628261E-3</v>
      </c>
      <c r="AG79" s="15">
        <v>-3.6179915782821701E-3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1.4982824907055438E-2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-7.8856003565743208E-4</v>
      </c>
      <c r="BE79" s="29">
        <f t="shared" si="22"/>
        <v>0</v>
      </c>
      <c r="BF79" s="29">
        <f t="shared" si="23"/>
        <v>1.4194264871398006E-2</v>
      </c>
      <c r="BH79" s="29"/>
    </row>
    <row r="80" spans="1:60" x14ac:dyDescent="0.25">
      <c r="A80" s="1">
        <v>46139</v>
      </c>
      <c r="B80" s="33">
        <v>51.81</v>
      </c>
      <c r="C80" s="33">
        <v>124.11</v>
      </c>
      <c r="D80" s="15">
        <v>7.5559789889534197E-3</v>
      </c>
      <c r="E80" s="15">
        <v>6.4667592589907098E-3</v>
      </c>
      <c r="F80" s="33">
        <v>0</v>
      </c>
      <c r="G80" s="33">
        <v>0.25148999999999999</v>
      </c>
      <c r="H80" s="33">
        <v>0</v>
      </c>
      <c r="I80" s="33">
        <v>0.57623199999999997</v>
      </c>
      <c r="J80" s="33">
        <v>0</v>
      </c>
      <c r="K80" s="33">
        <v>0</v>
      </c>
      <c r="L80" s="33">
        <v>51.81</v>
      </c>
      <c r="M80" s="33">
        <v>124.11</v>
      </c>
      <c r="N80" s="34">
        <v>2.39548349739432</v>
      </c>
      <c r="O80" s="34">
        <v>2.3814540004427101</v>
      </c>
      <c r="P80" s="34">
        <v>2.39307331027346</v>
      </c>
      <c r="Q80" s="34">
        <v>2.3909409578019898</v>
      </c>
      <c r="R80" s="33">
        <v>123.383131762937</v>
      </c>
      <c r="S80" s="33">
        <v>123.961993478206</v>
      </c>
      <c r="T80" s="33">
        <v>123.84495503961701</v>
      </c>
      <c r="U80" s="15">
        <v>-5.8738626140231696E-3</v>
      </c>
      <c r="V80" s="15">
        <v>-1.19325472641727E-3</v>
      </c>
      <c r="W80" s="15">
        <v>-2.1378484756376099E-3</v>
      </c>
      <c r="X80" s="34">
        <v>2.39548349739432</v>
      </c>
      <c r="Y80" s="34">
        <v>2.38188334875188</v>
      </c>
      <c r="Z80" s="34">
        <v>2.39307331027346</v>
      </c>
      <c r="AA80" s="34">
        <v>2.3909409578019898</v>
      </c>
      <c r="AB80" s="33">
        <v>123.40537629883499</v>
      </c>
      <c r="AC80" s="33">
        <v>123.961993478206</v>
      </c>
      <c r="AD80" s="33">
        <v>123.84495503961701</v>
      </c>
      <c r="AE80" s="15">
        <v>-5.6935905573291604E-3</v>
      </c>
      <c r="AF80" s="15">
        <v>-1.19325472641727E-3</v>
      </c>
      <c r="AG80" s="15">
        <v>-2.1378484756373901E-3</v>
      </c>
      <c r="AI80" s="12"/>
      <c r="AJ80">
        <f t="shared" si="6"/>
        <v>0</v>
      </c>
      <c r="AK80">
        <f t="shared" si="7"/>
        <v>0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1.4982824907055438E-2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-7.8856003565743208E-4</v>
      </c>
      <c r="BE80" s="29">
        <f t="shared" si="22"/>
        <v>0</v>
      </c>
      <c r="BF80" s="29">
        <f t="shared" si="23"/>
        <v>1.4194264871398006E-2</v>
      </c>
      <c r="BH80" s="29"/>
    </row>
    <row r="81" spans="1:60" x14ac:dyDescent="0.25">
      <c r="A81" s="1">
        <v>46140</v>
      </c>
      <c r="B81" s="33">
        <v>51.85</v>
      </c>
      <c r="C81" s="33">
        <v>124.34</v>
      </c>
      <c r="D81" s="15">
        <v>7.7175384883930898E-4</v>
      </c>
      <c r="E81" s="15">
        <v>1.85147969976172E-3</v>
      </c>
      <c r="F81" s="33">
        <v>0</v>
      </c>
      <c r="G81" s="33">
        <v>0.25148999999999999</v>
      </c>
      <c r="H81" s="33">
        <v>0</v>
      </c>
      <c r="I81" s="33">
        <v>0.57623199999999997</v>
      </c>
      <c r="J81" s="33">
        <v>0</v>
      </c>
      <c r="K81" s="33">
        <v>0</v>
      </c>
      <c r="L81" s="33">
        <v>51.85</v>
      </c>
      <c r="M81" s="33">
        <v>124.34</v>
      </c>
      <c r="N81" s="34">
        <v>2.3980713596914098</v>
      </c>
      <c r="O81" s="34">
        <v>2.3814540004427101</v>
      </c>
      <c r="P81" s="34">
        <v>2.39371474519973</v>
      </c>
      <c r="Q81" s="34">
        <v>2.3918929128833302</v>
      </c>
      <c r="R81" s="33">
        <v>123.47838992295399</v>
      </c>
      <c r="S81" s="33">
        <v>124.08085113767901</v>
      </c>
      <c r="T81" s="33">
        <v>123.970288662033</v>
      </c>
      <c r="U81" s="15">
        <v>-6.9535884649454304E-3</v>
      </c>
      <c r="V81" s="15">
        <v>-2.0863704084324399E-3</v>
      </c>
      <c r="W81" s="15">
        <v>-2.97781951088008E-3</v>
      </c>
      <c r="X81" s="34">
        <v>2.3980713596914098</v>
      </c>
      <c r="Y81" s="34">
        <v>2.38188334875188</v>
      </c>
      <c r="Z81" s="34">
        <v>2.39371474519973</v>
      </c>
      <c r="AA81" s="34">
        <v>2.3918929128833302</v>
      </c>
      <c r="AB81" s="33">
        <v>123.50065163278499</v>
      </c>
      <c r="AC81" s="33">
        <v>124.08085113767901</v>
      </c>
      <c r="AD81" s="33">
        <v>123.970288662033</v>
      </c>
      <c r="AE81" s="15">
        <v>-6.7733164082514497E-3</v>
      </c>
      <c r="AF81" s="15">
        <v>-2.0863704084324399E-3</v>
      </c>
      <c r="AG81" s="15">
        <v>-2.97781951088008E-3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1.4982824907055438E-2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-7.8856003565743208E-4</v>
      </c>
      <c r="BE81" s="29">
        <f t="shared" si="22"/>
        <v>0</v>
      </c>
      <c r="BF81" s="29">
        <f t="shared" si="23"/>
        <v>1.4194264871398006E-2</v>
      </c>
      <c r="BH81" s="29"/>
    </row>
    <row r="82" spans="1:60" x14ac:dyDescent="0.25">
      <c r="A82" s="1">
        <v>46141</v>
      </c>
      <c r="B82" s="33">
        <v>51.92</v>
      </c>
      <c r="C82" s="33">
        <v>123.17</v>
      </c>
      <c r="D82" s="15">
        <v>1.3491377202983199E-3</v>
      </c>
      <c r="E82" s="15">
        <v>-9.4542338877986291E-3</v>
      </c>
      <c r="F82" s="33">
        <v>0</v>
      </c>
      <c r="G82" s="33">
        <v>0.25148999999999999</v>
      </c>
      <c r="H82" s="33">
        <v>0</v>
      </c>
      <c r="I82" s="33">
        <v>0.57623199999999997</v>
      </c>
      <c r="J82" s="33">
        <v>0</v>
      </c>
      <c r="K82" s="33">
        <v>0</v>
      </c>
      <c r="L82" s="33">
        <v>51.92</v>
      </c>
      <c r="M82" s="33">
        <v>123.17</v>
      </c>
      <c r="N82" s="34">
        <v>2.3723035439137101</v>
      </c>
      <c r="O82" s="34">
        <v>2.3814540004427101</v>
      </c>
      <c r="P82" s="34">
        <v>2.3920338479138898</v>
      </c>
      <c r="Q82" s="34">
        <v>2.39134665600975</v>
      </c>
      <c r="R82" s="33">
        <v>123.645091702985</v>
      </c>
      <c r="S82" s="33">
        <v>124.28166957077001</v>
      </c>
      <c r="T82" s="33">
        <v>124.187080036902</v>
      </c>
      <c r="U82" s="15">
        <v>3.8497831431514502E-3</v>
      </c>
      <c r="V82" s="15">
        <v>8.9850034269088799E-3</v>
      </c>
      <c r="W82" s="15">
        <v>8.2236236671913206E-3</v>
      </c>
      <c r="X82" s="34">
        <v>2.3723035439137101</v>
      </c>
      <c r="Y82" s="34">
        <v>2.38188334875188</v>
      </c>
      <c r="Z82" s="34">
        <v>2.3920338479138898</v>
      </c>
      <c r="AA82" s="34">
        <v>2.39134665600975</v>
      </c>
      <c r="AB82" s="33">
        <v>123.667383467197</v>
      </c>
      <c r="AC82" s="33">
        <v>124.28166957077001</v>
      </c>
      <c r="AD82" s="33">
        <v>124.187080036902</v>
      </c>
      <c r="AE82" s="15">
        <v>4.0300551998453801E-3</v>
      </c>
      <c r="AF82" s="15">
        <v>8.9850034269088799E-3</v>
      </c>
      <c r="AG82" s="15">
        <v>8.2236236671913206E-3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1.4982824907055438E-2</v>
      </c>
      <c r="AT82" s="12"/>
      <c r="AU82">
        <f t="shared" si="10"/>
        <v>1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-7.8856003565743208E-4</v>
      </c>
      <c r="BE82" s="29">
        <f t="shared" si="22"/>
        <v>0</v>
      </c>
      <c r="BF82" s="29">
        <f t="shared" si="23"/>
        <v>1.4194264871398006E-2</v>
      </c>
      <c r="BH82" s="29"/>
    </row>
    <row r="83" spans="1:60" x14ac:dyDescent="0.25">
      <c r="A83" s="1">
        <v>46142</v>
      </c>
      <c r="B83" s="33">
        <v>52.13</v>
      </c>
      <c r="C83" s="33">
        <v>124.34</v>
      </c>
      <c r="D83" s="15">
        <v>4.0365263841800302E-3</v>
      </c>
      <c r="E83" s="15">
        <v>9.4542338877986604E-3</v>
      </c>
      <c r="F83" s="33">
        <v>0</v>
      </c>
      <c r="G83" s="33">
        <v>0.25148999999999999</v>
      </c>
      <c r="H83" s="33">
        <v>0</v>
      </c>
      <c r="I83" s="33">
        <v>0.57623199999999997</v>
      </c>
      <c r="J83" s="33">
        <v>0</v>
      </c>
      <c r="K83" s="33">
        <v>0</v>
      </c>
      <c r="L83" s="33">
        <v>52.13</v>
      </c>
      <c r="M83" s="33">
        <v>124.34</v>
      </c>
      <c r="N83" s="34">
        <v>2.3851908689813901</v>
      </c>
      <c r="O83" s="34">
        <v>2.3814540004427101</v>
      </c>
      <c r="P83" s="34">
        <v>2.3916907399244698</v>
      </c>
      <c r="Q83" s="34">
        <v>2.3912089502678802</v>
      </c>
      <c r="R83" s="33">
        <v>124.145197043078</v>
      </c>
      <c r="S83" s="33">
        <v>124.696724491751</v>
      </c>
      <c r="T83" s="33">
        <v>124.66090117778801</v>
      </c>
      <c r="U83" s="15">
        <v>-1.5679243604672299E-3</v>
      </c>
      <c r="V83" s="15">
        <v>2.8648363927683798E-3</v>
      </c>
      <c r="W83" s="15">
        <v>2.5775115988027602E-3</v>
      </c>
      <c r="X83" s="34">
        <v>2.3851908689813901</v>
      </c>
      <c r="Y83" s="34">
        <v>2.38188334875188</v>
      </c>
      <c r="Z83" s="34">
        <v>2.3916907399244698</v>
      </c>
      <c r="AA83" s="34">
        <v>2.3912089502678802</v>
      </c>
      <c r="AB83" s="33">
        <v>124.167578970435</v>
      </c>
      <c r="AC83" s="33">
        <v>124.696724491751</v>
      </c>
      <c r="AD83" s="33">
        <v>124.66090117778801</v>
      </c>
      <c r="AE83" s="15">
        <v>-1.3876523037731701E-3</v>
      </c>
      <c r="AF83" s="15">
        <v>2.8648363927683798E-3</v>
      </c>
      <c r="AG83" s="15">
        <v>2.5775115988027602E-3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1.4982824907055438E-2</v>
      </c>
      <c r="AT83" s="12"/>
      <c r="AU83">
        <f t="shared" si="10"/>
        <v>0</v>
      </c>
      <c r="AV83">
        <f t="shared" si="11"/>
        <v>0</v>
      </c>
      <c r="AW83">
        <f t="shared" si="18"/>
        <v>1</v>
      </c>
      <c r="AX83">
        <f t="shared" si="5"/>
        <v>1</v>
      </c>
      <c r="AY83">
        <f t="shared" si="19"/>
        <v>1</v>
      </c>
      <c r="AZ83" s="28">
        <f t="shared" si="12"/>
        <v>-4.0365263841800302E-3</v>
      </c>
      <c r="BA83" s="28">
        <f t="shared" si="13"/>
        <v>9.4542338877986604E-3</v>
      </c>
      <c r="BB83" s="28">
        <f t="shared" si="20"/>
        <v>5.4177075036186302E-3</v>
      </c>
      <c r="BC83" s="29">
        <f t="shared" si="21"/>
        <v>4.6291474679611977E-3</v>
      </c>
      <c r="BE83" s="29">
        <f t="shared" si="22"/>
        <v>5.4177075036186302E-3</v>
      </c>
      <c r="BF83" s="29">
        <f t="shared" si="23"/>
        <v>1.9611972375016634E-2</v>
      </c>
      <c r="BH83" s="29"/>
    </row>
    <row r="84" spans="1:60" x14ac:dyDescent="0.25">
      <c r="A84" s="1">
        <v>46143</v>
      </c>
      <c r="B84" s="33">
        <v>51.92</v>
      </c>
      <c r="C84" s="33">
        <v>123.88</v>
      </c>
      <c r="D84" s="15">
        <v>-4.0365263841799903E-3</v>
      </c>
      <c r="E84" s="15">
        <v>-3.70639373618952E-3</v>
      </c>
      <c r="F84" s="33">
        <v>0</v>
      </c>
      <c r="G84" s="33">
        <v>0.25148999999999999</v>
      </c>
      <c r="H84" s="33">
        <v>0</v>
      </c>
      <c r="I84" s="33">
        <v>0.57623199999999997</v>
      </c>
      <c r="J84" s="33">
        <v>0</v>
      </c>
      <c r="K84" s="33">
        <v>0</v>
      </c>
      <c r="L84" s="33">
        <v>51.92</v>
      </c>
      <c r="M84" s="33">
        <v>123.88</v>
      </c>
      <c r="N84" s="34">
        <v>2.3859784283512999</v>
      </c>
      <c r="O84" s="34">
        <v>2.3814540004427101</v>
      </c>
      <c r="P84" s="34">
        <v>2.3912269768088099</v>
      </c>
      <c r="Q84" s="34">
        <v>2.3909843505871202</v>
      </c>
      <c r="R84" s="33">
        <v>123.645091702985</v>
      </c>
      <c r="S84" s="33">
        <v>124.176583216878</v>
      </c>
      <c r="T84" s="33">
        <v>124.151568697908</v>
      </c>
      <c r="U84" s="15">
        <v>-1.8980570084576999E-3</v>
      </c>
      <c r="V84" s="15">
        <v>2.3912556913985301E-3</v>
      </c>
      <c r="W84" s="15">
        <v>2.1897922740465999E-3</v>
      </c>
      <c r="X84" s="34">
        <v>2.3859784283512999</v>
      </c>
      <c r="Y84" s="34">
        <v>2.38188334875188</v>
      </c>
      <c r="Z84" s="34">
        <v>2.3912269768088099</v>
      </c>
      <c r="AA84" s="34">
        <v>2.3909843505871202</v>
      </c>
      <c r="AB84" s="33">
        <v>123.667383467197</v>
      </c>
      <c r="AC84" s="33">
        <v>124.176583216878</v>
      </c>
      <c r="AD84" s="33">
        <v>124.151568697908</v>
      </c>
      <c r="AE84" s="15">
        <v>-1.7177849517638301E-3</v>
      </c>
      <c r="AF84" s="15">
        <v>2.3912556913985301E-3</v>
      </c>
      <c r="AG84" s="15">
        <v>2.1897922740461498E-3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1.4982824907055438E-2</v>
      </c>
      <c r="AT84" s="12"/>
      <c r="AU84">
        <f t="shared" si="10"/>
        <v>0</v>
      </c>
      <c r="AV84">
        <f t="shared" si="11"/>
        <v>0</v>
      </c>
      <c r="AW84">
        <f t="shared" si="18"/>
        <v>1</v>
      </c>
      <c r="AX84">
        <f t="shared" si="5"/>
        <v>1</v>
      </c>
      <c r="AY84">
        <f t="shared" si="19"/>
        <v>1</v>
      </c>
      <c r="AZ84" s="28">
        <f t="shared" si="12"/>
        <v>4.0365263841799903E-3</v>
      </c>
      <c r="BA84" s="28">
        <f t="shared" si="13"/>
        <v>-3.70639373618952E-3</v>
      </c>
      <c r="BB84" s="28">
        <f t="shared" si="20"/>
        <v>3.3013264799047022E-4</v>
      </c>
      <c r="BC84" s="29">
        <f t="shared" si="21"/>
        <v>4.9592801159516683E-3</v>
      </c>
      <c r="BE84" s="29">
        <f t="shared" si="22"/>
        <v>3.3013264799047022E-4</v>
      </c>
      <c r="BF84" s="29">
        <f t="shared" si="23"/>
        <v>1.9942105023007105E-2</v>
      </c>
      <c r="BH84" s="29"/>
    </row>
    <row r="85" spans="1:60" x14ac:dyDescent="0.25">
      <c r="A85" s="1">
        <v>46146</v>
      </c>
      <c r="B85" s="33">
        <v>51.58</v>
      </c>
      <c r="C85" s="33">
        <v>122.86</v>
      </c>
      <c r="D85" s="15">
        <v>-6.5700719426358698E-3</v>
      </c>
      <c r="E85" s="15">
        <v>-8.2678593692207102E-3</v>
      </c>
      <c r="F85" s="33">
        <v>0</v>
      </c>
      <c r="G85" s="33">
        <v>0.25148999999999999</v>
      </c>
      <c r="H85" s="33">
        <v>0</v>
      </c>
      <c r="I85" s="33">
        <v>0.57623199999999997</v>
      </c>
      <c r="J85" s="33">
        <v>0</v>
      </c>
      <c r="K85" s="33">
        <v>0</v>
      </c>
      <c r="L85" s="33">
        <v>51.58</v>
      </c>
      <c r="M85" s="33">
        <v>122.86</v>
      </c>
      <c r="N85" s="34">
        <v>2.3819309810003801</v>
      </c>
      <c r="O85" s="34">
        <v>2.3814540004427101</v>
      </c>
      <c r="P85" s="34">
        <v>2.3902599001036</v>
      </c>
      <c r="Q85" s="34">
        <v>2.3906542757397902</v>
      </c>
      <c r="R85" s="33">
        <v>122.83539734283499</v>
      </c>
      <c r="S85" s="33">
        <v>123.33948746379799</v>
      </c>
      <c r="T85" s="33">
        <v>123.326972803283</v>
      </c>
      <c r="U85" s="15">
        <v>-2.00269581872946E-4</v>
      </c>
      <c r="V85" s="15">
        <v>3.89511834462101E-3</v>
      </c>
      <c r="W85" s="15">
        <v>3.7936480392387101E-3</v>
      </c>
      <c r="X85" s="34">
        <v>2.3819309810003801</v>
      </c>
      <c r="Y85" s="34">
        <v>2.38188334875188</v>
      </c>
      <c r="Z85" s="34">
        <v>2.3902599001036</v>
      </c>
      <c r="AA85" s="34">
        <v>2.3906542757397902</v>
      </c>
      <c r="AB85" s="33">
        <v>122.857543128622</v>
      </c>
      <c r="AC85" s="33">
        <v>123.33948746379799</v>
      </c>
      <c r="AD85" s="33">
        <v>123.326972803283</v>
      </c>
      <c r="AE85" s="15">
        <v>-1.9997525179010599E-5</v>
      </c>
      <c r="AF85" s="15">
        <v>3.8951183446212299E-3</v>
      </c>
      <c r="AG85" s="15">
        <v>3.79364803923893E-3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1.4982824907055438E-2</v>
      </c>
      <c r="AT85" s="12"/>
      <c r="AU85">
        <f t="shared" si="10"/>
        <v>0</v>
      </c>
      <c r="AV85">
        <f t="shared" si="11"/>
        <v>0</v>
      </c>
      <c r="AW85">
        <f t="shared" si="18"/>
        <v>1</v>
      </c>
      <c r="AX85">
        <f t="shared" ref="AX85:AX148" si="25">IF(F86+H86&gt;0,0,1)</f>
        <v>1</v>
      </c>
      <c r="AY85">
        <f t="shared" si="19"/>
        <v>1</v>
      </c>
      <c r="AZ85" s="28">
        <f t="shared" si="12"/>
        <v>6.5700719426358698E-3</v>
      </c>
      <c r="BA85" s="28">
        <f t="shared" si="13"/>
        <v>-8.2678593692207102E-3</v>
      </c>
      <c r="BB85" s="28">
        <f t="shared" si="20"/>
        <v>-1.6977874265848404E-3</v>
      </c>
      <c r="BC85" s="29">
        <f t="shared" si="21"/>
        <v>3.2614926893668279E-3</v>
      </c>
      <c r="BE85" s="29">
        <f t="shared" si="22"/>
        <v>-1.6977874265848404E-3</v>
      </c>
      <c r="BF85" s="29">
        <f t="shared" si="23"/>
        <v>1.8244317596422265E-2</v>
      </c>
      <c r="BH85" s="29"/>
    </row>
    <row r="86" spans="1:60" x14ac:dyDescent="0.25">
      <c r="A86" s="1">
        <v>46147</v>
      </c>
      <c r="B86" s="33">
        <v>51.59</v>
      </c>
      <c r="C86" s="33">
        <v>123.38</v>
      </c>
      <c r="D86" s="15">
        <v>1.9385480335985201E-4</v>
      </c>
      <c r="E86" s="15">
        <v>4.22352804571115E-3</v>
      </c>
      <c r="F86" s="33">
        <v>0</v>
      </c>
      <c r="G86" s="33">
        <v>0.25148999999999999</v>
      </c>
      <c r="H86" s="33">
        <v>0</v>
      </c>
      <c r="I86" s="33">
        <v>0.57623199999999997</v>
      </c>
      <c r="J86" s="33">
        <v>0</v>
      </c>
      <c r="K86" s="33">
        <v>0</v>
      </c>
      <c r="L86" s="33">
        <v>51.59</v>
      </c>
      <c r="M86" s="33">
        <v>123.38</v>
      </c>
      <c r="N86" s="34">
        <v>2.3915487497577002</v>
      </c>
      <c r="O86" s="34">
        <v>2.3814540004427101</v>
      </c>
      <c r="P86" s="34">
        <v>2.3898545456338698</v>
      </c>
      <c r="Q86" s="34">
        <v>2.3906747765797198</v>
      </c>
      <c r="R86" s="33">
        <v>122.85921188283901</v>
      </c>
      <c r="S86" s="33">
        <v>123.31350824634499</v>
      </c>
      <c r="T86" s="33">
        <v>123.333854085415</v>
      </c>
      <c r="U86" s="15">
        <v>-4.2299428242242396E-3</v>
      </c>
      <c r="V86" s="15">
        <v>-5.3906368057848202E-4</v>
      </c>
      <c r="W86" s="15">
        <v>-3.7408450606385202E-4</v>
      </c>
      <c r="X86" s="34">
        <v>2.3915487497577002</v>
      </c>
      <c r="Y86" s="34">
        <v>2.38188334875188</v>
      </c>
      <c r="Z86" s="34">
        <v>2.3898545456338698</v>
      </c>
      <c r="AA86" s="34">
        <v>2.3906747765797198</v>
      </c>
      <c r="AB86" s="33">
        <v>122.881361962109</v>
      </c>
      <c r="AC86" s="33">
        <v>123.31350824634499</v>
      </c>
      <c r="AD86" s="33">
        <v>123.333854085415</v>
      </c>
      <c r="AE86" s="15">
        <v>-4.0496707675302902E-3</v>
      </c>
      <c r="AF86" s="15">
        <v>-5.39063680578259E-4</v>
      </c>
      <c r="AG86" s="15">
        <v>-3.7408450606385202E-4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1.4982824907055438E-2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1</v>
      </c>
      <c r="AX86">
        <f t="shared" si="25"/>
        <v>1</v>
      </c>
      <c r="AY86">
        <f t="shared" si="19"/>
        <v>1</v>
      </c>
      <c r="AZ86" s="28">
        <f t="shared" ref="AZ86:AZ149" si="32">-AY86*D86</f>
        <v>-1.9385480335985201E-4</v>
      </c>
      <c r="BA86" s="28">
        <f t="shared" ref="BA86:BA149" si="33">AY86*$E86</f>
        <v>4.22352804571115E-3</v>
      </c>
      <c r="BB86" s="28">
        <f t="shared" si="20"/>
        <v>4.029673242351298E-3</v>
      </c>
      <c r="BC86" s="29">
        <f t="shared" si="21"/>
        <v>7.2911659317181259E-3</v>
      </c>
      <c r="BE86" s="29">
        <f t="shared" si="22"/>
        <v>4.029673242351298E-3</v>
      </c>
      <c r="BF86" s="29">
        <f t="shared" si="23"/>
        <v>2.2273990838773565E-2</v>
      </c>
      <c r="BH86" s="29"/>
    </row>
    <row r="87" spans="1:60" x14ac:dyDescent="0.25">
      <c r="A87" s="1">
        <v>46148</v>
      </c>
      <c r="B87" s="33">
        <v>51.84</v>
      </c>
      <c r="C87" s="33">
        <v>124.23</v>
      </c>
      <c r="D87" s="15">
        <v>4.8341967874606399E-3</v>
      </c>
      <c r="E87" s="15">
        <v>6.8656624440931596E-3</v>
      </c>
      <c r="F87" s="33">
        <v>0</v>
      </c>
      <c r="G87" s="33">
        <v>0.25148999999999999</v>
      </c>
      <c r="H87" s="33">
        <v>0</v>
      </c>
      <c r="I87" s="33">
        <v>0.57623199999999997</v>
      </c>
      <c r="J87" s="33">
        <v>0</v>
      </c>
      <c r="K87" s="33">
        <v>0</v>
      </c>
      <c r="L87" s="33">
        <v>51.84</v>
      </c>
      <c r="M87" s="33">
        <v>124.23</v>
      </c>
      <c r="N87" s="34">
        <v>2.3964120370370301</v>
      </c>
      <c r="O87" s="34">
        <v>2.3814540004427101</v>
      </c>
      <c r="P87" s="34">
        <v>2.39025039404165</v>
      </c>
      <c r="Q87" s="34">
        <v>2.3909641284315701</v>
      </c>
      <c r="R87" s="33">
        <v>123.45457538295</v>
      </c>
      <c r="S87" s="33">
        <v>123.89005964565899</v>
      </c>
      <c r="T87" s="33">
        <v>123.932580417892</v>
      </c>
      <c r="U87" s="15">
        <v>-6.2614084808565798E-3</v>
      </c>
      <c r="V87" s="15">
        <v>-2.7401296575835302E-3</v>
      </c>
      <c r="W87" s="15">
        <v>-2.3969747897379201E-3</v>
      </c>
      <c r="X87" s="34">
        <v>2.3964120370370301</v>
      </c>
      <c r="Y87" s="34">
        <v>2.38188334875188</v>
      </c>
      <c r="Z87" s="34">
        <v>2.39025039404165</v>
      </c>
      <c r="AA87" s="34">
        <v>2.3909641284315701</v>
      </c>
      <c r="AB87" s="33">
        <v>123.476832799297</v>
      </c>
      <c r="AC87" s="33">
        <v>123.89005964565899</v>
      </c>
      <c r="AD87" s="33">
        <v>123.932580417892</v>
      </c>
      <c r="AE87" s="15">
        <v>-6.0811364241626503E-3</v>
      </c>
      <c r="AF87" s="15">
        <v>-2.7401296575835302E-3</v>
      </c>
      <c r="AG87" s="15">
        <v>-2.3969747897377002E-3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1.4982824907055438E-2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7.2911659317181259E-3</v>
      </c>
      <c r="BE87" s="29">
        <f t="shared" ref="BE87:BE150" si="42">AQ87+BB87</f>
        <v>0</v>
      </c>
      <c r="BF87" s="29">
        <f t="shared" ref="BF87:BF150" si="43">BF86+BE87</f>
        <v>2.2273990838773565E-2</v>
      </c>
      <c r="BH87" s="29"/>
    </row>
    <row r="88" spans="1:60" x14ac:dyDescent="0.25">
      <c r="A88" s="1">
        <v>46149</v>
      </c>
      <c r="B88" s="33">
        <v>51.55</v>
      </c>
      <c r="C88" s="33">
        <v>123.09</v>
      </c>
      <c r="D88" s="15">
        <v>-5.6098415810504404E-3</v>
      </c>
      <c r="E88" s="15">
        <v>-9.2188911033811698E-3</v>
      </c>
      <c r="F88" s="33">
        <v>0</v>
      </c>
      <c r="G88" s="33">
        <v>0.25148999999999999</v>
      </c>
      <c r="H88" s="33">
        <v>0</v>
      </c>
      <c r="I88" s="33">
        <v>0.57623199999999997</v>
      </c>
      <c r="J88" s="33">
        <v>0</v>
      </c>
      <c r="K88" s="33">
        <v>0</v>
      </c>
      <c r="L88" s="33">
        <v>51.55</v>
      </c>
      <c r="M88" s="33">
        <v>123.09</v>
      </c>
      <c r="N88" s="34">
        <v>2.3877788554801098</v>
      </c>
      <c r="O88" s="34">
        <v>2.3814540004427101</v>
      </c>
      <c r="P88" s="34">
        <v>2.3892792448406301</v>
      </c>
      <c r="Q88" s="34">
        <v>2.3907154323978599</v>
      </c>
      <c r="R88" s="33">
        <v>122.763953722821</v>
      </c>
      <c r="S88" s="33">
        <v>123.217407812847</v>
      </c>
      <c r="T88" s="33">
        <v>123.254200820647</v>
      </c>
      <c r="U88" s="15">
        <v>-2.6523589585258698E-3</v>
      </c>
      <c r="V88" s="15">
        <v>1.0345431779102601E-3</v>
      </c>
      <c r="W88" s="15">
        <v>1.33310095726319E-3</v>
      </c>
      <c r="X88" s="34">
        <v>2.3877788554801098</v>
      </c>
      <c r="Y88" s="34">
        <v>2.38188334875188</v>
      </c>
      <c r="Z88" s="34">
        <v>2.3892792448406301</v>
      </c>
      <c r="AA88" s="34">
        <v>2.3907154323978599</v>
      </c>
      <c r="AB88" s="33">
        <v>122.786086628159</v>
      </c>
      <c r="AC88" s="33">
        <v>123.217407812847</v>
      </c>
      <c r="AD88" s="33">
        <v>123.254200820647</v>
      </c>
      <c r="AE88" s="15">
        <v>-2.4720869018319E-3</v>
      </c>
      <c r="AF88" s="15">
        <v>1.0345431779104899E-3</v>
      </c>
      <c r="AG88" s="15">
        <v>1.33310095726319E-3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1.4982824907055438E-2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7.2911659317181259E-3</v>
      </c>
      <c r="BE88" s="29">
        <f t="shared" si="42"/>
        <v>0</v>
      </c>
      <c r="BF88" s="29">
        <f t="shared" si="43"/>
        <v>2.2273990838773565E-2</v>
      </c>
      <c r="BH88" s="29"/>
    </row>
    <row r="89" spans="1:60" x14ac:dyDescent="0.25">
      <c r="A89" s="1">
        <v>46150</v>
      </c>
      <c r="B89" s="33">
        <v>51.24</v>
      </c>
      <c r="C89" s="33">
        <v>122.62</v>
      </c>
      <c r="D89" s="15">
        <v>-6.0317334344353202E-3</v>
      </c>
      <c r="E89" s="15">
        <v>-3.8256527876624901E-3</v>
      </c>
      <c r="F89" s="33">
        <v>0</v>
      </c>
      <c r="G89" s="33">
        <v>0.25148999999999999</v>
      </c>
      <c r="H89" s="33">
        <v>0</v>
      </c>
      <c r="I89" s="33">
        <v>0.57623199999999997</v>
      </c>
      <c r="J89" s="33">
        <v>0</v>
      </c>
      <c r="K89" s="33">
        <v>0</v>
      </c>
      <c r="L89" s="33">
        <v>51.24</v>
      </c>
      <c r="M89" s="33">
        <v>122.62</v>
      </c>
      <c r="N89" s="34">
        <v>2.3930523028883601</v>
      </c>
      <c r="O89" s="34">
        <v>2.3814540004427101</v>
      </c>
      <c r="P89" s="34">
        <v>2.3887750624495698</v>
      </c>
      <c r="Q89" s="34">
        <v>2.3907009212866099</v>
      </c>
      <c r="R89" s="33">
        <v>122.025702982684</v>
      </c>
      <c r="S89" s="33">
        <v>122.426668505633</v>
      </c>
      <c r="T89" s="33">
        <v>122.500258756066</v>
      </c>
      <c r="U89" s="15">
        <v>-4.8584396052986896E-3</v>
      </c>
      <c r="V89" s="15">
        <v>-1.57791604071504E-3</v>
      </c>
      <c r="W89" s="15">
        <v>-9.7700005757070298E-4</v>
      </c>
      <c r="X89" s="34">
        <v>2.3930523028883601</v>
      </c>
      <c r="Y89" s="34">
        <v>2.38188334875188</v>
      </c>
      <c r="Z89" s="34">
        <v>2.3887750624495698</v>
      </c>
      <c r="AA89" s="34">
        <v>2.3907009212866099</v>
      </c>
      <c r="AB89" s="33">
        <v>122.047702790046</v>
      </c>
      <c r="AC89" s="33">
        <v>122.426668505633</v>
      </c>
      <c r="AD89" s="33">
        <v>122.500258756066</v>
      </c>
      <c r="AE89" s="15">
        <v>-4.6781675486047298E-3</v>
      </c>
      <c r="AF89" s="15">
        <v>-1.57791604071504E-3</v>
      </c>
      <c r="AG89" s="15">
        <v>-9.7700005757048094E-4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1.4982824907055438E-2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7.2911659317181259E-3</v>
      </c>
      <c r="BE89" s="29">
        <f t="shared" si="42"/>
        <v>0</v>
      </c>
      <c r="BF89" s="29">
        <f t="shared" si="43"/>
        <v>2.2273990838773565E-2</v>
      </c>
      <c r="BH89" s="29"/>
    </row>
    <row r="90" spans="1:60" x14ac:dyDescent="0.25">
      <c r="A90" s="1">
        <v>46153</v>
      </c>
      <c r="B90" s="33">
        <v>51.18</v>
      </c>
      <c r="C90" s="33">
        <v>122.14</v>
      </c>
      <c r="D90" s="15">
        <v>-1.17164629689074E-3</v>
      </c>
      <c r="E90" s="15">
        <v>-3.9222145395531802E-3</v>
      </c>
      <c r="F90" s="33">
        <v>0</v>
      </c>
      <c r="G90" s="33">
        <v>0.25148999999999999</v>
      </c>
      <c r="H90" s="33">
        <v>0</v>
      </c>
      <c r="I90" s="33">
        <v>0.57623199999999997</v>
      </c>
      <c r="J90" s="33">
        <v>0</v>
      </c>
      <c r="K90" s="33">
        <v>0</v>
      </c>
      <c r="L90" s="33">
        <v>51.18</v>
      </c>
      <c r="M90" s="33">
        <v>122.14</v>
      </c>
      <c r="N90" s="34">
        <v>2.3864790933958502</v>
      </c>
      <c r="O90" s="34">
        <v>2.3814540004427101</v>
      </c>
      <c r="P90" s="34">
        <v>2.38787462204973</v>
      </c>
      <c r="Q90" s="34">
        <v>2.3904739661615899</v>
      </c>
      <c r="R90" s="33">
        <v>121.882815742658</v>
      </c>
      <c r="S90" s="33">
        <v>122.257507696169</v>
      </c>
      <c r="T90" s="33">
        <v>122.356073151449</v>
      </c>
      <c r="U90" s="15">
        <v>-2.1078713626362E-3</v>
      </c>
      <c r="V90" s="15">
        <v>9.6161132191543498E-4</v>
      </c>
      <c r="W90" s="15">
        <v>1.76749838895992E-3</v>
      </c>
      <c r="X90" s="34">
        <v>2.3864790933958502</v>
      </c>
      <c r="Y90" s="34">
        <v>2.38188334875188</v>
      </c>
      <c r="Z90" s="34">
        <v>2.38787462204973</v>
      </c>
      <c r="AA90" s="34">
        <v>2.3904739661615899</v>
      </c>
      <c r="AB90" s="33">
        <v>121.904789789121</v>
      </c>
      <c r="AC90" s="33">
        <v>122.257507696169</v>
      </c>
      <c r="AD90" s="33">
        <v>122.356073151449</v>
      </c>
      <c r="AE90" s="15">
        <v>-1.92759930594232E-3</v>
      </c>
      <c r="AF90" s="15">
        <v>9.6161132191543498E-4</v>
      </c>
      <c r="AG90" s="15">
        <v>1.76749838895992E-3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1.4982824907055438E-2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7.2911659317181259E-3</v>
      </c>
      <c r="BE90" s="29">
        <f t="shared" si="42"/>
        <v>0</v>
      </c>
      <c r="BF90" s="29">
        <f t="shared" si="43"/>
        <v>2.2273990838773565E-2</v>
      </c>
      <c r="BH90" s="29"/>
    </row>
    <row r="91" spans="1:60" x14ac:dyDescent="0.25">
      <c r="A91" s="1">
        <v>46154</v>
      </c>
      <c r="B91" s="33">
        <v>51.58</v>
      </c>
      <c r="C91" s="33">
        <v>123</v>
      </c>
      <c r="D91" s="15">
        <v>7.7851697215558999E-3</v>
      </c>
      <c r="E91" s="15">
        <v>7.0164275774288899E-3</v>
      </c>
      <c r="F91" s="33">
        <v>0</v>
      </c>
      <c r="G91" s="33">
        <v>0.25148999999999999</v>
      </c>
      <c r="H91" s="33">
        <v>0</v>
      </c>
      <c r="I91" s="33">
        <v>0.57623199999999997</v>
      </c>
      <c r="J91" s="33">
        <v>0</v>
      </c>
      <c r="K91" s="33">
        <v>0</v>
      </c>
      <c r="L91" s="33">
        <v>51.58</v>
      </c>
      <c r="M91" s="33">
        <v>123</v>
      </c>
      <c r="N91" s="34">
        <v>2.3846452113222099</v>
      </c>
      <c r="O91" s="34">
        <v>2.3814540004427101</v>
      </c>
      <c r="P91" s="34">
        <v>2.3865320072128098</v>
      </c>
      <c r="Q91" s="34">
        <v>2.3901233762062701</v>
      </c>
      <c r="R91" s="33">
        <v>122.83539734283499</v>
      </c>
      <c r="S91" s="33">
        <v>123.16657300532501</v>
      </c>
      <c r="T91" s="33">
        <v>123.30064717461499</v>
      </c>
      <c r="U91" s="15">
        <v>-1.33912921850912E-3</v>
      </c>
      <c r="V91" s="15">
        <v>1.3533359035302901E-3</v>
      </c>
      <c r="W91" s="15">
        <v>2.44130356444141E-3</v>
      </c>
      <c r="X91" s="34">
        <v>2.3846452113222099</v>
      </c>
      <c r="Y91" s="34">
        <v>2.38188334875188</v>
      </c>
      <c r="Z91" s="34">
        <v>2.3865320072128098</v>
      </c>
      <c r="AA91" s="34">
        <v>2.3901233762062701</v>
      </c>
      <c r="AB91" s="33">
        <v>122.857543128622</v>
      </c>
      <c r="AC91" s="33">
        <v>123.16657300532501</v>
      </c>
      <c r="AD91" s="33">
        <v>123.30064717461499</v>
      </c>
      <c r="AE91" s="15">
        <v>-1.15885716181514E-3</v>
      </c>
      <c r="AF91" s="15">
        <v>1.3533359035302901E-3</v>
      </c>
      <c r="AG91" s="15">
        <v>2.44130356444141E-3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1.4982824907055438E-2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7.2911659317181259E-3</v>
      </c>
      <c r="BE91" s="29">
        <f t="shared" si="42"/>
        <v>0</v>
      </c>
      <c r="BF91" s="29">
        <f t="shared" si="43"/>
        <v>2.2273990838773565E-2</v>
      </c>
      <c r="BH91" s="29"/>
    </row>
    <row r="92" spans="1:60" x14ac:dyDescent="0.25">
      <c r="A92" s="1">
        <v>46155</v>
      </c>
      <c r="B92" s="33">
        <v>50.99</v>
      </c>
      <c r="C92" s="33">
        <v>121.76</v>
      </c>
      <c r="D92" s="15">
        <v>-1.1504465386134199E-2</v>
      </c>
      <c r="E92" s="15">
        <v>-1.01324612590417E-2</v>
      </c>
      <c r="F92" s="33">
        <v>0</v>
      </c>
      <c r="G92" s="33">
        <v>0.25148999999999999</v>
      </c>
      <c r="H92" s="33">
        <v>0</v>
      </c>
      <c r="I92" s="33">
        <v>0.57623199999999997</v>
      </c>
      <c r="J92" s="33">
        <v>0</v>
      </c>
      <c r="K92" s="33">
        <v>0</v>
      </c>
      <c r="L92" s="33">
        <v>50.99</v>
      </c>
      <c r="M92" s="33">
        <v>121.76</v>
      </c>
      <c r="N92" s="34">
        <v>2.3879191998431</v>
      </c>
      <c r="O92" s="34">
        <v>2.3814540004427101</v>
      </c>
      <c r="P92" s="34">
        <v>2.38809357280575</v>
      </c>
      <c r="Q92" s="34">
        <v>2.3900637103598199</v>
      </c>
      <c r="R92" s="33">
        <v>121.430339482574</v>
      </c>
      <c r="S92" s="33">
        <v>121.689267047781</v>
      </c>
      <c r="T92" s="33">
        <v>121.872390952757</v>
      </c>
      <c r="U92" s="15">
        <v>-2.7111333456016698E-3</v>
      </c>
      <c r="V92" s="15">
        <v>-5.8108989250121499E-4</v>
      </c>
      <c r="W92" s="15">
        <v>9.2262740837557205E-4</v>
      </c>
      <c r="X92" s="34">
        <v>2.3879191998431</v>
      </c>
      <c r="Y92" s="34">
        <v>2.38188334875188</v>
      </c>
      <c r="Z92" s="34">
        <v>2.38809357280575</v>
      </c>
      <c r="AA92" s="34">
        <v>2.3900637103598199</v>
      </c>
      <c r="AB92" s="33">
        <v>121.452231952858</v>
      </c>
      <c r="AC92" s="33">
        <v>121.689267047781</v>
      </c>
      <c r="AD92" s="33">
        <v>121.872390952757</v>
      </c>
      <c r="AE92" s="15">
        <v>-2.5308612889075499E-3</v>
      </c>
      <c r="AF92" s="15">
        <v>-5.8108989250110397E-4</v>
      </c>
      <c r="AG92" s="15">
        <v>9.2262740837535098E-4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1.4982824907055438E-2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7.2911659317181259E-3</v>
      </c>
      <c r="BE92" s="29">
        <f t="shared" si="42"/>
        <v>0</v>
      </c>
      <c r="BF92" s="29">
        <f t="shared" si="43"/>
        <v>2.2273990838773565E-2</v>
      </c>
      <c r="BH92" s="29"/>
    </row>
    <row r="93" spans="1:60" x14ac:dyDescent="0.25">
      <c r="A93" s="1">
        <v>46156</v>
      </c>
      <c r="B93" s="33">
        <v>51.29</v>
      </c>
      <c r="C93" s="33">
        <v>122.5</v>
      </c>
      <c r="D93" s="15">
        <v>5.86626633411269E-3</v>
      </c>
      <c r="E93" s="15">
        <v>6.0591358714058999E-3</v>
      </c>
      <c r="F93" s="33">
        <v>0</v>
      </c>
      <c r="G93" s="33">
        <v>0.25148999999999999</v>
      </c>
      <c r="H93" s="33">
        <v>0</v>
      </c>
      <c r="I93" s="33">
        <v>0.57623199999999997</v>
      </c>
      <c r="J93" s="33">
        <v>0</v>
      </c>
      <c r="K93" s="33">
        <v>0</v>
      </c>
      <c r="L93" s="33">
        <v>51.29</v>
      </c>
      <c r="M93" s="33">
        <v>122.5</v>
      </c>
      <c r="N93" s="34">
        <v>2.3883798011308199</v>
      </c>
      <c r="O93" s="34">
        <v>2.3814540004427101</v>
      </c>
      <c r="P93" s="34">
        <v>2.3884124660206898</v>
      </c>
      <c r="Q93" s="34">
        <v>2.39005160297258</v>
      </c>
      <c r="R93" s="33">
        <v>122.144775682706</v>
      </c>
      <c r="S93" s="33">
        <v>122.48531934920599</v>
      </c>
      <c r="T93" s="33">
        <v>122.586367704355</v>
      </c>
      <c r="U93" s="15">
        <v>-2.9040028828949301E-3</v>
      </c>
      <c r="V93" s="15">
        <v>-1.19849228922359E-4</v>
      </c>
      <c r="W93" s="15">
        <v>7.0479405884182303E-4</v>
      </c>
      <c r="X93" s="34">
        <v>2.3883798011308199</v>
      </c>
      <c r="Y93" s="34">
        <v>2.38188334875188</v>
      </c>
      <c r="Z93" s="34">
        <v>2.3884124660206898</v>
      </c>
      <c r="AA93" s="34">
        <v>2.39005160297258</v>
      </c>
      <c r="AB93" s="33">
        <v>122.166796957484</v>
      </c>
      <c r="AC93" s="33">
        <v>122.48531934920599</v>
      </c>
      <c r="AD93" s="33">
        <v>122.586367704355</v>
      </c>
      <c r="AE93" s="15">
        <v>-2.7237308262009299E-3</v>
      </c>
      <c r="AF93" s="15">
        <v>-1.19849228922359E-4</v>
      </c>
      <c r="AG93" s="15">
        <v>7.0479405884182303E-4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1.4982824907055438E-2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7.2911659317181259E-3</v>
      </c>
      <c r="BE93" s="29">
        <f t="shared" si="42"/>
        <v>0</v>
      </c>
      <c r="BF93" s="29">
        <f t="shared" si="43"/>
        <v>2.2273990838773565E-2</v>
      </c>
      <c r="BH93" s="29"/>
    </row>
    <row r="94" spans="1:60" x14ac:dyDescent="0.25">
      <c r="A94" s="1">
        <v>46157</v>
      </c>
      <c r="B94" s="33">
        <v>51.1</v>
      </c>
      <c r="C94" s="33">
        <v>121.76</v>
      </c>
      <c r="D94" s="15">
        <v>-3.7113041915182599E-3</v>
      </c>
      <c r="E94" s="15">
        <v>-6.05913587140588E-3</v>
      </c>
      <c r="F94" s="33">
        <v>0</v>
      </c>
      <c r="G94" s="33">
        <v>0.25148999999999999</v>
      </c>
      <c r="H94" s="33">
        <v>0</v>
      </c>
      <c r="I94" s="33">
        <v>0.57623199999999997</v>
      </c>
      <c r="J94" s="33">
        <v>0</v>
      </c>
      <c r="K94" s="33">
        <v>0</v>
      </c>
      <c r="L94" s="33">
        <v>51.1</v>
      </c>
      <c r="M94" s="33">
        <v>121.76</v>
      </c>
      <c r="N94" s="34">
        <v>2.3827788649706401</v>
      </c>
      <c r="O94" s="34">
        <v>2.3814540004427101</v>
      </c>
      <c r="P94" s="34">
        <v>2.38809250968262</v>
      </c>
      <c r="Q94" s="34">
        <v>2.3896597432457201</v>
      </c>
      <c r="R94" s="33">
        <v>121.692299422622</v>
      </c>
      <c r="S94" s="33">
        <v>122.047877013657</v>
      </c>
      <c r="T94" s="33">
        <v>122.13163691189899</v>
      </c>
      <c r="U94" s="15">
        <v>-5.56171203007257E-4</v>
      </c>
      <c r="V94" s="15">
        <v>2.3615081757625399E-3</v>
      </c>
      <c r="W94" s="15">
        <v>3.04756000853325E-3</v>
      </c>
      <c r="X94" s="34">
        <v>2.3827788649706401</v>
      </c>
      <c r="Y94" s="34">
        <v>2.38188334875188</v>
      </c>
      <c r="Z94" s="34">
        <v>2.38809250968262</v>
      </c>
      <c r="AA94" s="34">
        <v>2.3896597432457201</v>
      </c>
      <c r="AB94" s="33">
        <v>121.714239121221</v>
      </c>
      <c r="AC94" s="33">
        <v>122.047877013657</v>
      </c>
      <c r="AD94" s="33">
        <v>122.13163691189899</v>
      </c>
      <c r="AE94" s="15">
        <v>-3.7589914631327298E-4</v>
      </c>
      <c r="AF94" s="15">
        <v>2.3615081757625399E-3</v>
      </c>
      <c r="AG94" s="15">
        <v>3.04756000853325E-3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1.4982824907055438E-2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7.2911659317181259E-3</v>
      </c>
      <c r="BE94" s="29">
        <f t="shared" si="42"/>
        <v>0</v>
      </c>
      <c r="BF94" s="29">
        <f t="shared" si="43"/>
        <v>2.2273990838773565E-2</v>
      </c>
      <c r="BH94" s="29"/>
    </row>
    <row r="95" spans="1:60" x14ac:dyDescent="0.25">
      <c r="A95" s="1">
        <v>46160</v>
      </c>
      <c r="B95" s="33">
        <v>51.74</v>
      </c>
      <c r="C95" s="33">
        <v>122.99</v>
      </c>
      <c r="D95" s="15">
        <v>1.24466795482243E-2</v>
      </c>
      <c r="E95" s="15">
        <v>1.00511571409432E-2</v>
      </c>
      <c r="F95" s="33">
        <v>0</v>
      </c>
      <c r="G95" s="33">
        <v>0.25148999999999999</v>
      </c>
      <c r="H95" s="33">
        <v>0</v>
      </c>
      <c r="I95" s="33">
        <v>0.57623199999999997</v>
      </c>
      <c r="J95" s="33">
        <v>0</v>
      </c>
      <c r="K95" s="33">
        <v>0</v>
      </c>
      <c r="L95" s="33">
        <v>51.74</v>
      </c>
      <c r="M95" s="33">
        <v>122.99</v>
      </c>
      <c r="N95" s="34">
        <v>2.3770776961731701</v>
      </c>
      <c r="O95" s="34">
        <v>2.3814540004427101</v>
      </c>
      <c r="P95" s="34">
        <v>2.3876071811999</v>
      </c>
      <c r="Q95" s="34">
        <v>2.3889335406517498</v>
      </c>
      <c r="R95" s="33">
        <v>123.21642998290601</v>
      </c>
      <c r="S95" s="33">
        <v>123.559906450979</v>
      </c>
      <c r="T95" s="33">
        <v>123.640995115533</v>
      </c>
      <c r="U95" s="15">
        <v>1.83935120427363E-3</v>
      </c>
      <c r="V95" s="15">
        <v>4.6230596816535796E-3</v>
      </c>
      <c r="W95" s="15">
        <v>5.2791144690675102E-3</v>
      </c>
      <c r="X95" s="34">
        <v>2.3770776961731701</v>
      </c>
      <c r="Y95" s="34">
        <v>2.38188334875188</v>
      </c>
      <c r="Z95" s="34">
        <v>2.3876071811999</v>
      </c>
      <c r="AA95" s="34">
        <v>2.3889335406517498</v>
      </c>
      <c r="AB95" s="33">
        <v>123.23864446442199</v>
      </c>
      <c r="AC95" s="33">
        <v>123.559906450979</v>
      </c>
      <c r="AD95" s="33">
        <v>123.640995115533</v>
      </c>
      <c r="AE95" s="15">
        <v>2.0196232609676098E-3</v>
      </c>
      <c r="AF95" s="15">
        <v>4.6230596816535796E-3</v>
      </c>
      <c r="AG95" s="15">
        <v>5.2791144690675102E-3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1.4982824907055438E-2</v>
      </c>
      <c r="AT95" s="12"/>
      <c r="AU95">
        <f t="shared" si="30"/>
        <v>1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7.2911659317181259E-3</v>
      </c>
      <c r="BE95" s="29">
        <f t="shared" si="42"/>
        <v>0</v>
      </c>
      <c r="BF95" s="29">
        <f t="shared" si="43"/>
        <v>2.2273990838773565E-2</v>
      </c>
      <c r="BH95" s="29"/>
    </row>
    <row r="96" spans="1:60" x14ac:dyDescent="0.25">
      <c r="A96" s="1">
        <v>46161</v>
      </c>
      <c r="B96" s="33">
        <v>51.1</v>
      </c>
      <c r="C96" s="33">
        <v>121.52</v>
      </c>
      <c r="D96" s="15">
        <v>-1.24466795482243E-2</v>
      </c>
      <c r="E96" s="15">
        <v>-1.2024192966801701E-2</v>
      </c>
      <c r="F96" s="33">
        <v>0</v>
      </c>
      <c r="G96" s="33">
        <v>0.25148999999999999</v>
      </c>
      <c r="H96" s="33">
        <v>0</v>
      </c>
      <c r="I96" s="33">
        <v>0.57623199999999997</v>
      </c>
      <c r="J96" s="33">
        <v>0</v>
      </c>
      <c r="K96" s="33">
        <v>0</v>
      </c>
      <c r="L96" s="33">
        <v>51.1</v>
      </c>
      <c r="M96" s="33">
        <v>121.52</v>
      </c>
      <c r="N96" s="34">
        <v>2.3780821917808201</v>
      </c>
      <c r="O96" s="34">
        <v>2.3814540004427101</v>
      </c>
      <c r="P96" s="34">
        <v>2.3862605254022098</v>
      </c>
      <c r="Q96" s="34">
        <v>2.38805753551804</v>
      </c>
      <c r="R96" s="33">
        <v>121.692299422622</v>
      </c>
      <c r="S96" s="33">
        <v>122.006726959315</v>
      </c>
      <c r="T96" s="33">
        <v>122.07450392730399</v>
      </c>
      <c r="U96" s="15">
        <v>1.4168646228509801E-3</v>
      </c>
      <c r="V96" s="15">
        <v>3.9973239364198198E-3</v>
      </c>
      <c r="W96" s="15">
        <v>4.5526879804753898E-3</v>
      </c>
      <c r="X96" s="34">
        <v>2.3780821917808201</v>
      </c>
      <c r="Y96" s="34">
        <v>2.38188334875188</v>
      </c>
      <c r="Z96" s="34">
        <v>2.3862605254022098</v>
      </c>
      <c r="AA96" s="34">
        <v>2.38805753551804</v>
      </c>
      <c r="AB96" s="33">
        <v>121.714239121221</v>
      </c>
      <c r="AC96" s="33">
        <v>122.006726959315</v>
      </c>
      <c r="AD96" s="33">
        <v>122.07450392730399</v>
      </c>
      <c r="AE96" s="15">
        <v>1.5971366795451501E-3</v>
      </c>
      <c r="AF96" s="15">
        <v>3.9973239364196004E-3</v>
      </c>
      <c r="AG96" s="15">
        <v>4.5526879804753898E-3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1.4982824907055438E-2</v>
      </c>
      <c r="AT96" s="12"/>
      <c r="AU96">
        <f t="shared" si="30"/>
        <v>0</v>
      </c>
      <c r="AV96">
        <f t="shared" si="31"/>
        <v>0</v>
      </c>
      <c r="AW96">
        <f t="shared" si="38"/>
        <v>1</v>
      </c>
      <c r="AX96">
        <f t="shared" si="25"/>
        <v>1</v>
      </c>
      <c r="AY96">
        <f t="shared" si="39"/>
        <v>1</v>
      </c>
      <c r="AZ96" s="28">
        <f t="shared" si="32"/>
        <v>1.24466795482243E-2</v>
      </c>
      <c r="BA96" s="28">
        <f t="shared" si="33"/>
        <v>-1.2024192966801701E-2</v>
      </c>
      <c r="BB96" s="28">
        <f t="shared" si="40"/>
        <v>4.22486581422599E-4</v>
      </c>
      <c r="BC96" s="29">
        <f t="shared" si="41"/>
        <v>7.7136525131407249E-3</v>
      </c>
      <c r="BE96" s="29">
        <f t="shared" si="42"/>
        <v>4.22486581422599E-4</v>
      </c>
      <c r="BF96" s="29">
        <f t="shared" si="43"/>
        <v>2.2696477420196162E-2</v>
      </c>
      <c r="BH96" s="29"/>
    </row>
    <row r="97" spans="1:60" x14ac:dyDescent="0.25">
      <c r="A97" s="1">
        <v>46162</v>
      </c>
      <c r="B97" s="33">
        <v>51.66</v>
      </c>
      <c r="C97" s="33">
        <v>122.97</v>
      </c>
      <c r="D97" s="15">
        <v>1.08992904580356E-2</v>
      </c>
      <c r="E97" s="15">
        <v>1.1861564896838501E-2</v>
      </c>
      <c r="F97" s="33">
        <v>0</v>
      </c>
      <c r="G97" s="33">
        <v>0.25148999999999999</v>
      </c>
      <c r="H97" s="33">
        <v>0</v>
      </c>
      <c r="I97" s="33">
        <v>0.57623199999999997</v>
      </c>
      <c r="J97" s="33">
        <v>0</v>
      </c>
      <c r="K97" s="33">
        <v>0</v>
      </c>
      <c r="L97" s="33">
        <v>51.66</v>
      </c>
      <c r="M97" s="33">
        <v>122.97</v>
      </c>
      <c r="N97" s="34">
        <v>2.3803716608594598</v>
      </c>
      <c r="O97" s="34">
        <v>2.3814540004427101</v>
      </c>
      <c r="P97" s="34">
        <v>2.38465648778446</v>
      </c>
      <c r="Q97" s="34">
        <v>2.3874534409130499</v>
      </c>
      <c r="R97" s="33">
        <v>123.02591366287</v>
      </c>
      <c r="S97" s="33">
        <v>123.27421874227799</v>
      </c>
      <c r="T97" s="33">
        <v>123.367052284862</v>
      </c>
      <c r="U97" s="15">
        <v>4.54590184048214E-4</v>
      </c>
      <c r="V97" s="15">
        <v>2.4708713862101701E-3</v>
      </c>
      <c r="W97" s="15">
        <v>3.22365332396883E-3</v>
      </c>
      <c r="X97" s="34">
        <v>2.3803716608594598</v>
      </c>
      <c r="Y97" s="34">
        <v>2.38188334875188</v>
      </c>
      <c r="Z97" s="34">
        <v>2.38465648778446</v>
      </c>
      <c r="AA97" s="34">
        <v>2.3874534409130499</v>
      </c>
      <c r="AB97" s="33">
        <v>123.048093796522</v>
      </c>
      <c r="AC97" s="33">
        <v>123.27421874227799</v>
      </c>
      <c r="AD97" s="33">
        <v>123.367052284862</v>
      </c>
      <c r="AE97" s="15">
        <v>6.3486224074225201E-4</v>
      </c>
      <c r="AF97" s="15">
        <v>2.4708713862101701E-3</v>
      </c>
      <c r="AG97" s="15">
        <v>3.22365332396883E-3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1.4982824907055438E-2</v>
      </c>
      <c r="AT97" s="12"/>
      <c r="AU97">
        <f t="shared" si="30"/>
        <v>0</v>
      </c>
      <c r="AV97">
        <f t="shared" si="31"/>
        <v>0</v>
      </c>
      <c r="AW97">
        <f t="shared" si="38"/>
        <v>1</v>
      </c>
      <c r="AX97">
        <f t="shared" si="25"/>
        <v>1</v>
      </c>
      <c r="AY97">
        <f t="shared" si="39"/>
        <v>1</v>
      </c>
      <c r="AZ97" s="28">
        <f t="shared" si="32"/>
        <v>-1.08992904580356E-2</v>
      </c>
      <c r="BA97" s="28">
        <f t="shared" si="33"/>
        <v>1.1861564896838501E-2</v>
      </c>
      <c r="BB97" s="28">
        <f t="shared" si="40"/>
        <v>9.6227443880290107E-4</v>
      </c>
      <c r="BC97" s="29">
        <f t="shared" si="41"/>
        <v>8.6759269519436251E-3</v>
      </c>
      <c r="BE97" s="29">
        <f t="shared" si="42"/>
        <v>9.6227443880290107E-4</v>
      </c>
      <c r="BF97" s="29">
        <f t="shared" si="43"/>
        <v>2.3658751858999065E-2</v>
      </c>
      <c r="BH97" s="29"/>
    </row>
    <row r="98" spans="1:60" x14ac:dyDescent="0.25">
      <c r="A98" s="1">
        <v>46163</v>
      </c>
      <c r="B98" s="33">
        <v>51.73</v>
      </c>
      <c r="C98" s="33">
        <v>123.4</v>
      </c>
      <c r="D98" s="15">
        <v>1.3540963477292299E-3</v>
      </c>
      <c r="E98" s="15">
        <v>3.4906882869315801E-3</v>
      </c>
      <c r="F98" s="33">
        <v>0</v>
      </c>
      <c r="G98" s="33">
        <v>0.25148999999999999</v>
      </c>
      <c r="H98" s="33">
        <v>0</v>
      </c>
      <c r="I98" s="33">
        <v>0.57623199999999997</v>
      </c>
      <c r="J98" s="33">
        <v>0</v>
      </c>
      <c r="K98" s="33">
        <v>0</v>
      </c>
      <c r="L98" s="33">
        <v>51.73</v>
      </c>
      <c r="M98" s="33">
        <v>123.4</v>
      </c>
      <c r="N98" s="34">
        <v>2.3854629808621599</v>
      </c>
      <c r="O98" s="34">
        <v>2.3814540004427101</v>
      </c>
      <c r="P98" s="34">
        <v>2.3844249003226601</v>
      </c>
      <c r="Q98" s="34">
        <v>2.38685207258164</v>
      </c>
      <c r="R98" s="33">
        <v>123.192615442901</v>
      </c>
      <c r="S98" s="33">
        <v>123.35828011309</v>
      </c>
      <c r="T98" s="33">
        <v>123.502966498432</v>
      </c>
      <c r="U98" s="15">
        <v>-1.6820017551540799E-3</v>
      </c>
      <c r="V98" s="15">
        <v>-3.38143767968343E-4</v>
      </c>
      <c r="W98" s="15">
        <v>8.3406453848533697E-4</v>
      </c>
      <c r="X98" s="34">
        <v>2.3854629808621599</v>
      </c>
      <c r="Y98" s="34">
        <v>2.38188334875188</v>
      </c>
      <c r="Z98" s="34">
        <v>2.3844249003226601</v>
      </c>
      <c r="AA98" s="34">
        <v>2.38685207258164</v>
      </c>
      <c r="AB98" s="33">
        <v>123.214825630935</v>
      </c>
      <c r="AC98" s="33">
        <v>123.35828011309</v>
      </c>
      <c r="AD98" s="33">
        <v>123.502966498432</v>
      </c>
      <c r="AE98" s="15">
        <v>-1.50172969846017E-3</v>
      </c>
      <c r="AF98" s="15">
        <v>-3.38143767968343E-4</v>
      </c>
      <c r="AG98" s="15">
        <v>8.3406453848533697E-4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1.4982824907055438E-2</v>
      </c>
      <c r="AT98" s="12"/>
      <c r="AU98">
        <f t="shared" si="30"/>
        <v>0</v>
      </c>
      <c r="AV98">
        <f t="shared" si="31"/>
        <v>1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-1.3540963477292299E-3</v>
      </c>
      <c r="BA98" s="28">
        <f t="shared" si="33"/>
        <v>3.4906882869315801E-3</v>
      </c>
      <c r="BB98" s="28">
        <f t="shared" si="40"/>
        <v>2.1365919392023502E-3</v>
      </c>
      <c r="BC98" s="29">
        <f t="shared" si="41"/>
        <v>1.0812518891145975E-2</v>
      </c>
      <c r="BE98" s="29">
        <f t="shared" si="42"/>
        <v>2.1365919392023502E-3</v>
      </c>
      <c r="BF98" s="29">
        <f t="shared" si="43"/>
        <v>2.5795343798201417E-2</v>
      </c>
      <c r="BH98" s="29"/>
    </row>
    <row r="99" spans="1:60" x14ac:dyDescent="0.25">
      <c r="A99" s="1">
        <v>46164</v>
      </c>
      <c r="B99" s="33">
        <v>51.94</v>
      </c>
      <c r="C99" s="33">
        <v>123.79</v>
      </c>
      <c r="D99" s="15">
        <v>4.0513222191787199E-3</v>
      </c>
      <c r="E99" s="15">
        <v>3.1554700724313899E-3</v>
      </c>
      <c r="F99" s="33">
        <v>0</v>
      </c>
      <c r="G99" s="33">
        <v>0.25148999999999999</v>
      </c>
      <c r="H99" s="33">
        <v>0</v>
      </c>
      <c r="I99" s="33">
        <v>0.57623199999999997</v>
      </c>
      <c r="J99" s="33">
        <v>0</v>
      </c>
      <c r="K99" s="33">
        <v>0</v>
      </c>
      <c r="L99" s="33">
        <v>51.94</v>
      </c>
      <c r="M99" s="33">
        <v>123.79</v>
      </c>
      <c r="N99" s="34">
        <v>2.3833269156719199</v>
      </c>
      <c r="O99" s="34">
        <v>2.3814540004427101</v>
      </c>
      <c r="P99" s="34">
        <v>2.3834523616010199</v>
      </c>
      <c r="Q99" s="34">
        <v>2.3861137120252902</v>
      </c>
      <c r="R99" s="33">
        <v>123.692720782994</v>
      </c>
      <c r="S99" s="33">
        <v>123.847029322759</v>
      </c>
      <c r="T99" s="33">
        <v>123.97309664989</v>
      </c>
      <c r="U99" s="15">
        <v>-7.8614960840689397E-4</v>
      </c>
      <c r="V99" s="15">
        <v>4.6058801402488298E-4</v>
      </c>
      <c r="W99" s="15">
        <v>1.4779980206692401E-3</v>
      </c>
      <c r="X99" s="34">
        <v>2.3833269156719199</v>
      </c>
      <c r="Y99" s="34">
        <v>2.38188334875188</v>
      </c>
      <c r="Z99" s="34">
        <v>2.3834523616010199</v>
      </c>
      <c r="AA99" s="34">
        <v>2.3861137120252902</v>
      </c>
      <c r="AB99" s="33">
        <v>123.71502113417201</v>
      </c>
      <c r="AC99" s="33">
        <v>123.847029322759</v>
      </c>
      <c r="AD99" s="33">
        <v>123.97309664989</v>
      </c>
      <c r="AE99" s="15">
        <v>-6.0587755171288599E-4</v>
      </c>
      <c r="AF99" s="15">
        <v>4.6058801402510503E-4</v>
      </c>
      <c r="AG99" s="15">
        <v>1.47799802066902E-3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1.4982824907055438E-2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1.0812518891145975E-2</v>
      </c>
      <c r="BE99" s="29">
        <f t="shared" si="42"/>
        <v>0</v>
      </c>
      <c r="BF99" s="29">
        <f t="shared" si="43"/>
        <v>2.5795343798201417E-2</v>
      </c>
      <c r="BH99" s="29"/>
    </row>
    <row r="100" spans="1:60" x14ac:dyDescent="0.25">
      <c r="A100" s="1">
        <v>46168</v>
      </c>
      <c r="B100" s="33">
        <v>51.85</v>
      </c>
      <c r="C100" s="33">
        <v>123.81</v>
      </c>
      <c r="D100" s="15">
        <v>-1.7342715590660199E-3</v>
      </c>
      <c r="E100" s="15">
        <v>1.6155088888115501E-4</v>
      </c>
      <c r="F100" s="33">
        <v>0</v>
      </c>
      <c r="G100" s="33">
        <v>0.25148999999999999</v>
      </c>
      <c r="H100" s="33">
        <v>0</v>
      </c>
      <c r="I100" s="33">
        <v>0.57623199999999997</v>
      </c>
      <c r="J100" s="33">
        <v>0</v>
      </c>
      <c r="K100" s="33">
        <v>0</v>
      </c>
      <c r="L100" s="33">
        <v>51.85</v>
      </c>
      <c r="M100" s="33">
        <v>123.81</v>
      </c>
      <c r="N100" s="34">
        <v>2.3878495660559298</v>
      </c>
      <c r="O100" s="34">
        <v>2.3814540004427101</v>
      </c>
      <c r="P100" s="34">
        <v>2.38358940886702</v>
      </c>
      <c r="Q100" s="34">
        <v>2.3857320154583701</v>
      </c>
      <c r="R100" s="33">
        <v>123.47838992295399</v>
      </c>
      <c r="S100" s="33">
        <v>123.582004949012</v>
      </c>
      <c r="T100" s="33">
        <v>123.719995968511</v>
      </c>
      <c r="U100" s="15">
        <v>-2.6819720563541001E-3</v>
      </c>
      <c r="V100" s="15">
        <v>-1.8431890358154299E-3</v>
      </c>
      <c r="W100" s="15">
        <v>-7.2721720131394398E-4</v>
      </c>
      <c r="X100" s="34">
        <v>2.3878495660559298</v>
      </c>
      <c r="Y100" s="34">
        <v>2.38188334875188</v>
      </c>
      <c r="Z100" s="34">
        <v>2.38358940886702</v>
      </c>
      <c r="AA100" s="34">
        <v>2.3857320154583701</v>
      </c>
      <c r="AB100" s="33">
        <v>123.50065163278499</v>
      </c>
      <c r="AC100" s="33">
        <v>123.582004949012</v>
      </c>
      <c r="AD100" s="33">
        <v>123.719995968511</v>
      </c>
      <c r="AE100" s="15">
        <v>-2.5016999996600999E-3</v>
      </c>
      <c r="AF100" s="15">
        <v>-1.84318903581521E-3</v>
      </c>
      <c r="AG100" s="15">
        <v>-7.27217201314055E-4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1.4982824907055438E-2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1.0812518891145975E-2</v>
      </c>
      <c r="BE100" s="29">
        <f t="shared" si="42"/>
        <v>0</v>
      </c>
      <c r="BF100" s="29">
        <f t="shared" si="43"/>
        <v>2.5795343798201417E-2</v>
      </c>
      <c r="BH100" s="29"/>
    </row>
    <row r="101" spans="1:60" x14ac:dyDescent="0.25">
      <c r="A101" s="1">
        <v>46169</v>
      </c>
      <c r="B101" s="33">
        <v>51.42</v>
      </c>
      <c r="C101" s="33">
        <v>122.51</v>
      </c>
      <c r="D101" s="15">
        <v>-8.3277328377928794E-3</v>
      </c>
      <c r="E101" s="15">
        <v>-1.0555473126520901E-2</v>
      </c>
      <c r="F101" s="33">
        <v>0</v>
      </c>
      <c r="G101" s="33">
        <v>0.25148999999999999</v>
      </c>
      <c r="H101" s="33">
        <v>0</v>
      </c>
      <c r="I101" s="33">
        <v>0.57623199999999997</v>
      </c>
      <c r="J101" s="33">
        <v>0</v>
      </c>
      <c r="K101" s="33">
        <v>0</v>
      </c>
      <c r="L101" s="33">
        <v>51.42</v>
      </c>
      <c r="M101" s="33">
        <v>122.51</v>
      </c>
      <c r="N101" s="34">
        <v>2.38253597821859</v>
      </c>
      <c r="O101" s="34">
        <v>2.3814540004427101</v>
      </c>
      <c r="P101" s="34">
        <v>2.3833784855566602</v>
      </c>
      <c r="Q101" s="34">
        <v>2.3849552463847301</v>
      </c>
      <c r="R101" s="33">
        <v>122.454364702764</v>
      </c>
      <c r="S101" s="33">
        <v>122.56416740394199</v>
      </c>
      <c r="T101" s="33">
        <v>122.67434023486901</v>
      </c>
      <c r="U101" s="15">
        <v>-4.5423176762606702E-4</v>
      </c>
      <c r="V101" s="15">
        <v>4.4204907761970501E-4</v>
      </c>
      <c r="W101" s="15">
        <v>1.3405445007066601E-3</v>
      </c>
      <c r="X101" s="34">
        <v>2.38253597821859</v>
      </c>
      <c r="Y101" s="34">
        <v>2.38188334875188</v>
      </c>
      <c r="Z101" s="34">
        <v>2.3833784855566602</v>
      </c>
      <c r="AA101" s="34">
        <v>2.3849552463847301</v>
      </c>
      <c r="AB101" s="33">
        <v>122.47644179282101</v>
      </c>
      <c r="AC101" s="33">
        <v>122.56416740394199</v>
      </c>
      <c r="AD101" s="33">
        <v>122.67434023486901</v>
      </c>
      <c r="AE101" s="15">
        <v>-2.73959710932074E-4</v>
      </c>
      <c r="AF101" s="15">
        <v>4.42049077619927E-4</v>
      </c>
      <c r="AG101" s="15">
        <v>1.3405445007066601E-3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1.4982824907055438E-2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1.0812518891145975E-2</v>
      </c>
      <c r="BE101" s="29">
        <f t="shared" si="42"/>
        <v>0</v>
      </c>
      <c r="BF101" s="29">
        <f t="shared" si="43"/>
        <v>2.5795343798201417E-2</v>
      </c>
      <c r="BH101" s="29"/>
    </row>
    <row r="102" spans="1:60" x14ac:dyDescent="0.25">
      <c r="A102" s="1">
        <v>46170</v>
      </c>
      <c r="B102" s="33">
        <v>51.27</v>
      </c>
      <c r="C102" s="33">
        <v>122.17</v>
      </c>
      <c r="D102" s="15">
        <v>-2.9214160421341799E-3</v>
      </c>
      <c r="E102" s="15">
        <v>-2.77914189011077E-3</v>
      </c>
      <c r="F102" s="33">
        <v>0</v>
      </c>
      <c r="G102" s="33">
        <v>0.25148999999999999</v>
      </c>
      <c r="H102" s="33">
        <v>0</v>
      </c>
      <c r="I102" s="33">
        <v>0.57623199999999997</v>
      </c>
      <c r="J102" s="33">
        <v>0</v>
      </c>
      <c r="K102" s="33">
        <v>0</v>
      </c>
      <c r="L102" s="33">
        <v>51.27</v>
      </c>
      <c r="M102" s="33">
        <v>122.17</v>
      </c>
      <c r="N102" s="34">
        <v>2.38287497561927</v>
      </c>
      <c r="O102" s="34">
        <v>2.3814540004427101</v>
      </c>
      <c r="P102" s="34">
        <v>2.3828740631342802</v>
      </c>
      <c r="Q102" s="34">
        <v>2.3854838179700102</v>
      </c>
      <c r="R102" s="33">
        <v>122.097146602698</v>
      </c>
      <c r="S102" s="33">
        <v>122.19581495449</v>
      </c>
      <c r="T102" s="33">
        <v>122.276655482145</v>
      </c>
      <c r="U102" s="15">
        <v>-5.9650591964955702E-4</v>
      </c>
      <c r="V102" s="15">
        <v>2.1128122680430801E-4</v>
      </c>
      <c r="W102" s="15">
        <v>8.7262792532926097E-4</v>
      </c>
      <c r="X102" s="34">
        <v>2.38287497561927</v>
      </c>
      <c r="Y102" s="34">
        <v>2.38188334875188</v>
      </c>
      <c r="Z102" s="34">
        <v>2.3828740631342802</v>
      </c>
      <c r="AA102" s="34">
        <v>2.3854838179700102</v>
      </c>
      <c r="AB102" s="33">
        <v>122.119159290509</v>
      </c>
      <c r="AC102" s="33">
        <v>122.19581495449</v>
      </c>
      <c r="AD102" s="33">
        <v>122.276655482145</v>
      </c>
      <c r="AE102" s="15">
        <v>-4.1623386295556102E-4</v>
      </c>
      <c r="AF102" s="15">
        <v>2.1128122680430801E-4</v>
      </c>
      <c r="AG102" s="15">
        <v>8.7262792532948302E-4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1.4982824907055438E-2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1.0812518891145975E-2</v>
      </c>
      <c r="BE102" s="29">
        <f t="shared" si="42"/>
        <v>0</v>
      </c>
      <c r="BF102" s="29">
        <f t="shared" si="43"/>
        <v>2.5795343798201417E-2</v>
      </c>
      <c r="BH102" s="29"/>
    </row>
    <row r="103" spans="1:60" x14ac:dyDescent="0.25">
      <c r="A103" s="1">
        <v>46171</v>
      </c>
      <c r="B103" s="33">
        <v>51.58</v>
      </c>
      <c r="C103" s="33">
        <v>122.86</v>
      </c>
      <c r="D103" s="15">
        <v>6.0282146575894001E-3</v>
      </c>
      <c r="E103" s="15">
        <v>5.6319783198127398E-3</v>
      </c>
      <c r="F103" s="33">
        <v>0</v>
      </c>
      <c r="G103" s="33">
        <v>0.25148999999999999</v>
      </c>
      <c r="H103" s="33">
        <v>0</v>
      </c>
      <c r="I103" s="33">
        <v>0.57623199999999997</v>
      </c>
      <c r="J103" s="33">
        <v>0</v>
      </c>
      <c r="K103" s="33">
        <v>0</v>
      </c>
      <c r="L103" s="33">
        <v>51.58</v>
      </c>
      <c r="M103" s="33">
        <v>122.86</v>
      </c>
      <c r="N103" s="34">
        <v>2.3819309810003801</v>
      </c>
      <c r="O103" s="34">
        <v>2.3814540004427101</v>
      </c>
      <c r="P103" s="34">
        <v>2.3822291811212302</v>
      </c>
      <c r="Q103" s="34">
        <v>2.38532082357096</v>
      </c>
      <c r="R103" s="33">
        <v>122.83539734283499</v>
      </c>
      <c r="S103" s="33">
        <v>122.908644176466</v>
      </c>
      <c r="T103" s="33">
        <v>123.043255330893</v>
      </c>
      <c r="U103" s="15">
        <v>-2.00269581872946E-4</v>
      </c>
      <c r="V103" s="15">
        <v>3.9585340322400599E-4</v>
      </c>
      <c r="W103" s="15">
        <v>1.49046717231843E-3</v>
      </c>
      <c r="X103" s="34">
        <v>2.3819309810003801</v>
      </c>
      <c r="Y103" s="34">
        <v>2.38188334875188</v>
      </c>
      <c r="Z103" s="34">
        <v>2.3822291811212302</v>
      </c>
      <c r="AA103" s="34">
        <v>2.38532082357096</v>
      </c>
      <c r="AB103" s="33">
        <v>122.857543128622</v>
      </c>
      <c r="AC103" s="33">
        <v>122.908644176466</v>
      </c>
      <c r="AD103" s="33">
        <v>123.043255330893</v>
      </c>
      <c r="AE103" s="15">
        <v>-1.9997525179010599E-5</v>
      </c>
      <c r="AF103" s="15">
        <v>3.9585340322400599E-4</v>
      </c>
      <c r="AG103" s="15">
        <v>1.4904671723182099E-3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1.4982824907055438E-2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1.0812518891145975E-2</v>
      </c>
      <c r="BE103" s="29">
        <f t="shared" si="42"/>
        <v>0</v>
      </c>
      <c r="BF103" s="29">
        <f t="shared" si="43"/>
        <v>2.5795343798201417E-2</v>
      </c>
      <c r="BH103" s="29"/>
    </row>
    <row r="104" spans="1:60" x14ac:dyDescent="0.25">
      <c r="A104" s="1">
        <v>46174</v>
      </c>
      <c r="B104" s="33">
        <v>51.43</v>
      </c>
      <c r="C104" s="33">
        <v>122.55</v>
      </c>
      <c r="D104" s="15">
        <v>-2.9123406663738999E-3</v>
      </c>
      <c r="E104" s="15">
        <v>-2.5263857616598302E-3</v>
      </c>
      <c r="F104" s="33">
        <v>0</v>
      </c>
      <c r="G104" s="33">
        <v>0.25148999999999999</v>
      </c>
      <c r="H104" s="33">
        <v>0</v>
      </c>
      <c r="I104" s="33">
        <v>0.57623199999999997</v>
      </c>
      <c r="J104" s="33">
        <v>0</v>
      </c>
      <c r="K104" s="33">
        <v>0</v>
      </c>
      <c r="L104" s="33">
        <v>51.43</v>
      </c>
      <c r="M104" s="33">
        <v>122.55</v>
      </c>
      <c r="N104" s="34">
        <v>2.38285047637565</v>
      </c>
      <c r="O104" s="34">
        <v>2.3814540004427101</v>
      </c>
      <c r="P104" s="34">
        <v>2.3822363422617299</v>
      </c>
      <c r="Q104" s="34">
        <v>2.3851644259721798</v>
      </c>
      <c r="R104" s="33">
        <v>122.47817924276799</v>
      </c>
      <c r="S104" s="33">
        <v>122.518046785065</v>
      </c>
      <c r="T104" s="33">
        <v>122.677049956254</v>
      </c>
      <c r="U104" s="15">
        <v>-5.8622448658700397E-4</v>
      </c>
      <c r="V104" s="15">
        <v>-2.6077014555710501E-4</v>
      </c>
      <c r="W104" s="15">
        <v>1.0361823269085301E-3</v>
      </c>
      <c r="X104" s="34">
        <v>2.38285047637565</v>
      </c>
      <c r="Y104" s="34">
        <v>2.38188334875188</v>
      </c>
      <c r="Z104" s="34">
        <v>2.3822363422617401</v>
      </c>
      <c r="AA104" s="34">
        <v>2.3851644259721798</v>
      </c>
      <c r="AB104" s="33">
        <v>122.500260626309</v>
      </c>
      <c r="AC104" s="33">
        <v>122.518046785065</v>
      </c>
      <c r="AD104" s="33">
        <v>122.677049956254</v>
      </c>
      <c r="AE104" s="15">
        <v>-4.0595242989307801E-4</v>
      </c>
      <c r="AF104" s="15">
        <v>-2.6077014555710501E-4</v>
      </c>
      <c r="AG104" s="15">
        <v>1.0361823269085301E-3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1.4982824907055438E-2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1.0812518891145975E-2</v>
      </c>
      <c r="BE104" s="29">
        <f t="shared" si="42"/>
        <v>0</v>
      </c>
      <c r="BF104" s="29">
        <f t="shared" si="43"/>
        <v>2.5795343798201417E-2</v>
      </c>
      <c r="BH104" s="29"/>
    </row>
    <row r="105" spans="1:60" x14ac:dyDescent="0.25">
      <c r="A105" s="1">
        <v>46175</v>
      </c>
      <c r="B105" s="33">
        <v>51.46</v>
      </c>
      <c r="C105" s="33">
        <v>123.02</v>
      </c>
      <c r="D105" s="15">
        <v>5.83147066773309E-4</v>
      </c>
      <c r="E105" s="15">
        <v>3.8278338061005402E-3</v>
      </c>
      <c r="F105" s="33">
        <v>0</v>
      </c>
      <c r="G105" s="33">
        <v>0.25148999999999999</v>
      </c>
      <c r="H105" s="33">
        <v>0</v>
      </c>
      <c r="I105" s="33">
        <v>0.57623199999999997</v>
      </c>
      <c r="J105" s="33">
        <v>0</v>
      </c>
      <c r="K105" s="33">
        <v>0</v>
      </c>
      <c r="L105" s="33">
        <v>51.46</v>
      </c>
      <c r="M105" s="33">
        <v>123.02</v>
      </c>
      <c r="N105" s="34">
        <v>2.3905946366109601</v>
      </c>
      <c r="O105" s="34">
        <v>2.3814540004427101</v>
      </c>
      <c r="P105" s="34">
        <v>2.3835880363055102</v>
      </c>
      <c r="Q105" s="34">
        <v>2.3855976087527102</v>
      </c>
      <c r="R105" s="33">
        <v>122.549622862782</v>
      </c>
      <c r="S105" s="33">
        <v>122.589882172789</v>
      </c>
      <c r="T105" s="33">
        <v>122.74056136052801</v>
      </c>
      <c r="U105" s="15">
        <v>-3.83091122591433E-3</v>
      </c>
      <c r="V105" s="15">
        <v>-3.5024508224138998E-3</v>
      </c>
      <c r="W105" s="15">
        <v>-2.2740732552754199E-3</v>
      </c>
      <c r="X105" s="34">
        <v>2.3905946366109601</v>
      </c>
      <c r="Y105" s="34">
        <v>2.38188334875188</v>
      </c>
      <c r="Z105" s="34">
        <v>2.3835880363055102</v>
      </c>
      <c r="AA105" s="34">
        <v>2.3855976087527102</v>
      </c>
      <c r="AB105" s="33">
        <v>122.571717126772</v>
      </c>
      <c r="AC105" s="33">
        <v>122.589882172789</v>
      </c>
      <c r="AD105" s="33">
        <v>122.74056136052801</v>
      </c>
      <c r="AE105" s="15">
        <v>-3.6506391692204001E-3</v>
      </c>
      <c r="AF105" s="15">
        <v>-3.50245082241367E-3</v>
      </c>
      <c r="AG105" s="15">
        <v>-2.2740732552756402E-3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1.4982824907055438E-2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1.0812518891145975E-2</v>
      </c>
      <c r="BE105" s="29">
        <f t="shared" si="42"/>
        <v>0</v>
      </c>
      <c r="BF105" s="29">
        <f t="shared" si="43"/>
        <v>2.5795343798201417E-2</v>
      </c>
      <c r="BH105" s="29"/>
    </row>
    <row r="106" spans="1:60" x14ac:dyDescent="0.25">
      <c r="A106" s="1">
        <v>46176</v>
      </c>
      <c r="B106" s="33">
        <v>50.87</v>
      </c>
      <c r="C106" s="33">
        <v>121.63</v>
      </c>
      <c r="D106" s="15">
        <v>-1.1531448018924501E-2</v>
      </c>
      <c r="E106" s="15">
        <v>-1.13632941498772E-2</v>
      </c>
      <c r="F106" s="33">
        <v>0</v>
      </c>
      <c r="G106" s="33">
        <v>0.25148999999999999</v>
      </c>
      <c r="H106" s="33">
        <v>0</v>
      </c>
      <c r="I106" s="33">
        <v>0.57623199999999997</v>
      </c>
      <c r="J106" s="33">
        <v>0</v>
      </c>
      <c r="K106" s="33">
        <v>0</v>
      </c>
      <c r="L106" s="33">
        <v>50.87</v>
      </c>
      <c r="M106" s="33">
        <v>121.63</v>
      </c>
      <c r="N106" s="34">
        <v>2.3909966581482198</v>
      </c>
      <c r="O106" s="34">
        <v>2.3814540004427101</v>
      </c>
      <c r="P106" s="34">
        <v>2.3848794829422499</v>
      </c>
      <c r="Q106" s="34">
        <v>2.3855700041722301</v>
      </c>
      <c r="R106" s="33">
        <v>121.14456500252</v>
      </c>
      <c r="S106" s="33">
        <v>121.25312340686099</v>
      </c>
      <c r="T106" s="33">
        <v>121.35535035725</v>
      </c>
      <c r="U106" s="15">
        <v>-3.9990650949617203E-3</v>
      </c>
      <c r="V106" s="15">
        <v>-3.1033600879456298E-3</v>
      </c>
      <c r="W106" s="15">
        <v>-2.26062813507689E-3</v>
      </c>
      <c r="X106" s="34">
        <v>2.3909966581482198</v>
      </c>
      <c r="Y106" s="34">
        <v>2.38188334875188</v>
      </c>
      <c r="Z106" s="34">
        <v>2.3848794829422499</v>
      </c>
      <c r="AA106" s="34">
        <v>2.3855700041722301</v>
      </c>
      <c r="AB106" s="33">
        <v>121.166405951008</v>
      </c>
      <c r="AC106" s="33">
        <v>121.25312340686099</v>
      </c>
      <c r="AD106" s="33">
        <v>121.35535035725</v>
      </c>
      <c r="AE106" s="15">
        <v>-3.8187930382676499E-3</v>
      </c>
      <c r="AF106" s="15">
        <v>-3.10336008794541E-3</v>
      </c>
      <c r="AG106" s="15">
        <v>-2.26062813507689E-3</v>
      </c>
      <c r="AI106" s="12"/>
      <c r="AJ106">
        <f t="shared" si="26"/>
        <v>0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1.4982824907055438E-2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1.0812518891145975E-2</v>
      </c>
      <c r="BE106" s="29">
        <f t="shared" si="42"/>
        <v>0</v>
      </c>
      <c r="BF106" s="29">
        <f t="shared" si="43"/>
        <v>2.5795343798201417E-2</v>
      </c>
      <c r="BH106" s="29"/>
    </row>
    <row r="107" spans="1:60" x14ac:dyDescent="0.25">
      <c r="A107" s="1">
        <v>46177</v>
      </c>
      <c r="B107" s="33">
        <v>52.19</v>
      </c>
      <c r="C107" s="33">
        <v>124.81</v>
      </c>
      <c r="D107" s="15">
        <v>2.56175468206481E-2</v>
      </c>
      <c r="E107" s="15">
        <v>2.58089313000174E-2</v>
      </c>
      <c r="F107" s="33">
        <v>0</v>
      </c>
      <c r="G107" s="33">
        <v>0.25148999999999999</v>
      </c>
      <c r="H107" s="33">
        <v>0</v>
      </c>
      <c r="I107" s="33">
        <v>0.57623199999999997</v>
      </c>
      <c r="J107" s="33">
        <v>0</v>
      </c>
      <c r="K107" s="33">
        <v>0</v>
      </c>
      <c r="L107" s="33">
        <v>52.19</v>
      </c>
      <c r="M107" s="33">
        <v>124.81</v>
      </c>
      <c r="N107" s="34">
        <v>2.3914543015903398</v>
      </c>
      <c r="O107" s="34">
        <v>2.3814540004427101</v>
      </c>
      <c r="P107" s="34">
        <v>2.3859877470153399</v>
      </c>
      <c r="Q107" s="34">
        <v>2.3853221173999</v>
      </c>
      <c r="R107" s="33">
        <v>124.28808428310499</v>
      </c>
      <c r="S107" s="33">
        <v>124.466860214756</v>
      </c>
      <c r="T107" s="33">
        <v>124.502898517749</v>
      </c>
      <c r="U107" s="15">
        <v>-4.1904495743307901E-3</v>
      </c>
      <c r="V107" s="15">
        <v>-2.7530834725906801E-3</v>
      </c>
      <c r="W107" s="15">
        <v>-2.4635840295434402E-3</v>
      </c>
      <c r="X107" s="34">
        <v>2.3914543015903398</v>
      </c>
      <c r="Y107" s="34">
        <v>2.38188334875188</v>
      </c>
      <c r="Z107" s="34">
        <v>2.3859877470153399</v>
      </c>
      <c r="AA107" s="34">
        <v>2.3853221173999</v>
      </c>
      <c r="AB107" s="33">
        <v>124.31049197135999</v>
      </c>
      <c r="AC107" s="33">
        <v>124.466860214756</v>
      </c>
      <c r="AD107" s="33">
        <v>124.502898517749</v>
      </c>
      <c r="AE107" s="15">
        <v>-4.0101775176368598E-3</v>
      </c>
      <c r="AF107" s="15">
        <v>-2.7530834725910101E-3</v>
      </c>
      <c r="AG107" s="15">
        <v>-2.4635840295436601E-3</v>
      </c>
      <c r="AI107" s="12"/>
      <c r="AJ107">
        <f t="shared" si="26"/>
        <v>0</v>
      </c>
      <c r="AK107">
        <f t="shared" si="27"/>
        <v>0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1.4982824907055438E-2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1.0812518891145975E-2</v>
      </c>
      <c r="BE107" s="29">
        <f t="shared" si="42"/>
        <v>0</v>
      </c>
      <c r="BF107" s="29">
        <f t="shared" si="43"/>
        <v>2.5795343798201417E-2</v>
      </c>
      <c r="BH107" s="29"/>
    </row>
    <row r="108" spans="1:60" x14ac:dyDescent="0.25">
      <c r="A108" s="1">
        <v>46178</v>
      </c>
      <c r="B108" s="33">
        <v>52.3</v>
      </c>
      <c r="C108" s="33">
        <v>125</v>
      </c>
      <c r="D108" s="15">
        <v>2.1054654155554299E-3</v>
      </c>
      <c r="E108" s="15">
        <v>1.52115637193877E-3</v>
      </c>
      <c r="F108" s="33">
        <v>0</v>
      </c>
      <c r="G108" s="33">
        <v>0.25148999999999999</v>
      </c>
      <c r="H108" s="33">
        <v>0</v>
      </c>
      <c r="I108" s="33">
        <v>0.57623199999999997</v>
      </c>
      <c r="J108" s="33">
        <v>0</v>
      </c>
      <c r="K108" s="33">
        <v>0</v>
      </c>
      <c r="L108" s="33">
        <v>52.3</v>
      </c>
      <c r="M108" s="33">
        <v>125</v>
      </c>
      <c r="N108" s="34">
        <v>2.39005736137667</v>
      </c>
      <c r="O108" s="34">
        <v>2.3814540004427101</v>
      </c>
      <c r="P108" s="34">
        <v>2.3864471850667899</v>
      </c>
      <c r="Q108" s="34">
        <v>2.3854360426947299</v>
      </c>
      <c r="R108" s="33">
        <v>124.550044223154</v>
      </c>
      <c r="S108" s="33">
        <v>124.78715916890199</v>
      </c>
      <c r="T108" s="33">
        <v>124.752346740014</v>
      </c>
      <c r="U108" s="15">
        <v>-3.6061405307142099E-3</v>
      </c>
      <c r="V108" s="15">
        <v>-1.70417793546311E-3</v>
      </c>
      <c r="W108" s="15">
        <v>-1.9831913044021298E-3</v>
      </c>
      <c r="X108" s="34">
        <v>2.39005736137667</v>
      </c>
      <c r="Y108" s="34">
        <v>2.38188334875188</v>
      </c>
      <c r="Z108" s="34">
        <v>2.3864471850667899</v>
      </c>
      <c r="AA108" s="34">
        <v>2.3854360426947299</v>
      </c>
      <c r="AB108" s="33">
        <v>124.57249913972301</v>
      </c>
      <c r="AC108" s="33">
        <v>124.78715916890199</v>
      </c>
      <c r="AD108" s="33">
        <v>124.752346740014</v>
      </c>
      <c r="AE108" s="15">
        <v>-3.42586847402024E-3</v>
      </c>
      <c r="AF108" s="15">
        <v>-1.70417793546323E-3</v>
      </c>
      <c r="AG108" s="15">
        <v>-1.9831913044023501E-3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1.4982824907055438E-2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1.0812518891145975E-2</v>
      </c>
      <c r="BE108" s="29">
        <f t="shared" si="42"/>
        <v>0</v>
      </c>
      <c r="BF108" s="29">
        <f t="shared" si="43"/>
        <v>2.5795343798201417E-2</v>
      </c>
      <c r="BH108" s="29"/>
    </row>
    <row r="109" spans="1:60" x14ac:dyDescent="0.25">
      <c r="A109" s="1">
        <v>46181</v>
      </c>
      <c r="B109" s="33">
        <v>51.97</v>
      </c>
      <c r="C109" s="33">
        <v>124.31</v>
      </c>
      <c r="D109" s="15">
        <v>-6.3297420505266499E-3</v>
      </c>
      <c r="E109" s="15">
        <v>-5.5352914986770202E-3</v>
      </c>
      <c r="F109" s="33">
        <v>0</v>
      </c>
      <c r="G109" s="33">
        <v>0.25148999999999999</v>
      </c>
      <c r="H109" s="33">
        <v>0</v>
      </c>
      <c r="I109" s="33">
        <v>0.57623199999999997</v>
      </c>
      <c r="J109" s="33">
        <v>0</v>
      </c>
      <c r="K109" s="33">
        <v>0</v>
      </c>
      <c r="L109" s="33">
        <v>51.97</v>
      </c>
      <c r="M109" s="33">
        <v>124.31</v>
      </c>
      <c r="N109" s="34">
        <v>2.3919568982105002</v>
      </c>
      <c r="O109" s="34">
        <v>2.3814540004427101</v>
      </c>
      <c r="P109" s="34">
        <v>2.38731018332065</v>
      </c>
      <c r="Q109" s="34">
        <v>2.3853812724608301</v>
      </c>
      <c r="R109" s="33">
        <v>123.764164403007</v>
      </c>
      <c r="S109" s="33">
        <v>124.023660207921</v>
      </c>
      <c r="T109" s="33">
        <v>123.971111138845</v>
      </c>
      <c r="U109" s="15">
        <v>-4.4005910825639398E-3</v>
      </c>
      <c r="V109" s="15">
        <v>-2.3060902717443399E-3</v>
      </c>
      <c r="W109" s="15">
        <v>-2.7298820281378899E-3</v>
      </c>
      <c r="X109" s="34">
        <v>2.3919568982105002</v>
      </c>
      <c r="Y109" s="34">
        <v>2.38188334875188</v>
      </c>
      <c r="Z109" s="34">
        <v>2.38731018332065</v>
      </c>
      <c r="AA109" s="34">
        <v>2.3853812724608301</v>
      </c>
      <c r="AB109" s="33">
        <v>123.78647763463501</v>
      </c>
      <c r="AC109" s="33">
        <v>124.023660207921</v>
      </c>
      <c r="AD109" s="33">
        <v>123.971111138845</v>
      </c>
      <c r="AE109" s="15">
        <v>-4.2203190258699704E-3</v>
      </c>
      <c r="AF109" s="15">
        <v>-2.3060902717444501E-3</v>
      </c>
      <c r="AG109" s="15">
        <v>-2.7298820281378899E-3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1.4982824907055438E-2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1.0812518891145975E-2</v>
      </c>
      <c r="BE109" s="29">
        <f t="shared" si="42"/>
        <v>0</v>
      </c>
      <c r="BF109" s="29">
        <f t="shared" si="43"/>
        <v>2.5795343798201417E-2</v>
      </c>
      <c r="BH109" s="29"/>
    </row>
    <row r="110" spans="1:60" x14ac:dyDescent="0.25">
      <c r="A110" s="1">
        <v>46182</v>
      </c>
      <c r="B110" s="33">
        <v>52.46</v>
      </c>
      <c r="C110" s="33">
        <v>125.41</v>
      </c>
      <c r="D110" s="15">
        <v>9.3843454183771009E-3</v>
      </c>
      <c r="E110" s="15">
        <v>8.8099240323341998E-3</v>
      </c>
      <c r="F110" s="33">
        <v>0</v>
      </c>
      <c r="G110" s="33">
        <v>0.25148999999999999</v>
      </c>
      <c r="H110" s="33">
        <v>0</v>
      </c>
      <c r="I110" s="33">
        <v>0.57623199999999997</v>
      </c>
      <c r="J110" s="33">
        <v>0</v>
      </c>
      <c r="K110" s="33">
        <v>0</v>
      </c>
      <c r="L110" s="33">
        <v>52.46</v>
      </c>
      <c r="M110" s="33">
        <v>125.41</v>
      </c>
      <c r="N110" s="34">
        <v>2.39058330156309</v>
      </c>
      <c r="O110" s="34">
        <v>2.3814540004427101</v>
      </c>
      <c r="P110" s="34">
        <v>2.3875835568713701</v>
      </c>
      <c r="Q110" s="34">
        <v>2.38558648286919</v>
      </c>
      <c r="R110" s="33">
        <v>124.93107686322401</v>
      </c>
      <c r="S110" s="33">
        <v>125.238292217001</v>
      </c>
      <c r="T110" s="33">
        <v>125.137101553295</v>
      </c>
      <c r="U110" s="15">
        <v>-3.8261696965210001E-3</v>
      </c>
      <c r="V110" s="15">
        <v>-1.3701095534346701E-3</v>
      </c>
      <c r="W110" s="15">
        <v>-2.1784211665827401E-3</v>
      </c>
      <c r="X110" s="34">
        <v>2.39058330156309</v>
      </c>
      <c r="Y110" s="34">
        <v>2.38188334875188</v>
      </c>
      <c r="Z110" s="34">
        <v>2.3875835568713701</v>
      </c>
      <c r="AA110" s="34">
        <v>2.38558648286919</v>
      </c>
      <c r="AB110" s="33">
        <v>124.953600475523</v>
      </c>
      <c r="AC110" s="33">
        <v>125.238292217001</v>
      </c>
      <c r="AD110" s="33">
        <v>125.137101553295</v>
      </c>
      <c r="AE110" s="15">
        <v>-3.6458976398270199E-3</v>
      </c>
      <c r="AF110" s="15">
        <v>-1.3701095534346701E-3</v>
      </c>
      <c r="AG110" s="15">
        <v>-2.1784211665827401E-3</v>
      </c>
      <c r="AI110" s="12"/>
      <c r="AJ110">
        <f t="shared" si="26"/>
        <v>0</v>
      </c>
      <c r="AK110">
        <f t="shared" si="27"/>
        <v>0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1.4982824907055438E-2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1.0812518891145975E-2</v>
      </c>
      <c r="BE110" s="29">
        <f t="shared" si="42"/>
        <v>0</v>
      </c>
      <c r="BF110" s="29">
        <f t="shared" si="43"/>
        <v>2.5795343798201417E-2</v>
      </c>
      <c r="BH110" s="29"/>
    </row>
    <row r="111" spans="1:60" x14ac:dyDescent="0.25">
      <c r="A111" s="1">
        <v>46183</v>
      </c>
      <c r="B111" s="33">
        <v>52.23</v>
      </c>
      <c r="C111" s="33">
        <v>125.06</v>
      </c>
      <c r="D111" s="15">
        <v>-4.3939319905202797E-3</v>
      </c>
      <c r="E111" s="15">
        <v>-2.7947476968065198E-3</v>
      </c>
      <c r="F111" s="33">
        <v>0</v>
      </c>
      <c r="G111" s="33">
        <v>0.25148999999999999</v>
      </c>
      <c r="H111" s="33">
        <v>0</v>
      </c>
      <c r="I111" s="33">
        <v>0.57623199999999997</v>
      </c>
      <c r="J111" s="33">
        <v>0</v>
      </c>
      <c r="K111" s="33">
        <v>0</v>
      </c>
      <c r="L111" s="33">
        <v>52.23</v>
      </c>
      <c r="M111" s="33">
        <v>125.06</v>
      </c>
      <c r="N111" s="34">
        <v>2.3944093432892899</v>
      </c>
      <c r="O111" s="34">
        <v>2.3814540004427101</v>
      </c>
      <c r="P111" s="34">
        <v>2.3887708933784402</v>
      </c>
      <c r="Q111" s="34">
        <v>2.38607468946755</v>
      </c>
      <c r="R111" s="33">
        <v>124.383342443123</v>
      </c>
      <c r="S111" s="33">
        <v>124.703489175391</v>
      </c>
      <c r="T111" s="33">
        <v>124.599182000258</v>
      </c>
      <c r="U111" s="15">
        <v>-5.4253539902348403E-3</v>
      </c>
      <c r="V111" s="15">
        <v>-2.8547892881406298E-3</v>
      </c>
      <c r="W111" s="15">
        <v>-3.69158081330158E-3</v>
      </c>
      <c r="X111" s="34">
        <v>2.3944093432892899</v>
      </c>
      <c r="Y111" s="34">
        <v>2.38188334875188</v>
      </c>
      <c r="Z111" s="34">
        <v>2.3887708933784402</v>
      </c>
      <c r="AA111" s="34">
        <v>2.38607468946755</v>
      </c>
      <c r="AB111" s="33">
        <v>124.40576730530999</v>
      </c>
      <c r="AC111" s="33">
        <v>124.703489175391</v>
      </c>
      <c r="AD111" s="33">
        <v>124.599182000258</v>
      </c>
      <c r="AE111" s="15">
        <v>-5.2450819335409299E-3</v>
      </c>
      <c r="AF111" s="15">
        <v>-2.8547892881406298E-3</v>
      </c>
      <c r="AG111" s="15">
        <v>-3.69158081330158E-3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1.4982824907055438E-2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1.0812518891145975E-2</v>
      </c>
      <c r="BE111" s="29">
        <f t="shared" si="42"/>
        <v>0</v>
      </c>
      <c r="BF111" s="29">
        <f t="shared" si="43"/>
        <v>2.5795343798201417E-2</v>
      </c>
      <c r="BH111" s="29"/>
    </row>
    <row r="112" spans="1:60" x14ac:dyDescent="0.25">
      <c r="A112" s="1">
        <v>46184</v>
      </c>
      <c r="B112" s="33">
        <v>52.62</v>
      </c>
      <c r="C112" s="33">
        <v>126.31</v>
      </c>
      <c r="D112" s="15">
        <v>7.4392331639392901E-3</v>
      </c>
      <c r="E112" s="15">
        <v>9.9455806467320402E-3</v>
      </c>
      <c r="F112" s="33">
        <v>0</v>
      </c>
      <c r="G112" s="33">
        <v>0.25148999999999999</v>
      </c>
      <c r="H112" s="33">
        <v>0</v>
      </c>
      <c r="I112" s="33">
        <v>0.57623199999999997</v>
      </c>
      <c r="J112" s="33">
        <v>0</v>
      </c>
      <c r="K112" s="33">
        <v>0</v>
      </c>
      <c r="L112" s="33">
        <v>52.62</v>
      </c>
      <c r="M112" s="33">
        <v>126.31</v>
      </c>
      <c r="N112" s="34">
        <v>2.4004180919802298</v>
      </c>
      <c r="O112" s="34">
        <v>2.3814540004427101</v>
      </c>
      <c r="P112" s="34">
        <v>2.39052520501453</v>
      </c>
      <c r="Q112" s="34">
        <v>2.38669963407441</v>
      </c>
      <c r="R112" s="33">
        <v>125.31210950329501</v>
      </c>
      <c r="S112" s="33">
        <v>125.69712440957299</v>
      </c>
      <c r="T112" s="33">
        <v>125.55525015978201</v>
      </c>
      <c r="U112" s="15">
        <v>-7.9317014730275592E-3</v>
      </c>
      <c r="V112" s="15">
        <v>-4.86396406572697E-3</v>
      </c>
      <c r="W112" s="15">
        <v>-5.9933007743885403E-3</v>
      </c>
      <c r="X112" s="34">
        <v>2.4004180919802298</v>
      </c>
      <c r="Y112" s="34">
        <v>2.38188334875188</v>
      </c>
      <c r="Z112" s="34">
        <v>2.39052520501453</v>
      </c>
      <c r="AA112" s="34">
        <v>2.38669963407441</v>
      </c>
      <c r="AB112" s="33">
        <v>125.334701811324</v>
      </c>
      <c r="AC112" s="33">
        <v>125.69712440957299</v>
      </c>
      <c r="AD112" s="33">
        <v>125.55525015978201</v>
      </c>
      <c r="AE112" s="15">
        <v>-7.7514294163335499E-3</v>
      </c>
      <c r="AF112" s="15">
        <v>-4.86396406572697E-3</v>
      </c>
      <c r="AG112" s="15">
        <v>-5.9933007743885403E-3</v>
      </c>
      <c r="AI112" s="12"/>
      <c r="AJ112">
        <f t="shared" si="26"/>
        <v>1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1.4982824907055438E-2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1.0812518891145975E-2</v>
      </c>
      <c r="BE112" s="29">
        <f t="shared" si="42"/>
        <v>0</v>
      </c>
      <c r="BF112" s="29">
        <f t="shared" si="43"/>
        <v>2.5795343798201417E-2</v>
      </c>
      <c r="BH112" s="29"/>
    </row>
    <row r="113" spans="1:60" x14ac:dyDescent="0.25">
      <c r="A113" s="1">
        <v>46185</v>
      </c>
      <c r="B113" s="33">
        <v>53.34</v>
      </c>
      <c r="C113" s="33">
        <v>128.05000000000001</v>
      </c>
      <c r="D113" s="15">
        <v>1.35902431417216E-2</v>
      </c>
      <c r="E113" s="15">
        <v>1.3681609859650499E-2</v>
      </c>
      <c r="F113" s="33">
        <v>0</v>
      </c>
      <c r="G113" s="33">
        <v>0.25148999999999999</v>
      </c>
      <c r="H113" s="33">
        <v>0</v>
      </c>
      <c r="I113" s="33">
        <v>0.57623199999999997</v>
      </c>
      <c r="J113" s="33">
        <v>0</v>
      </c>
      <c r="K113" s="33">
        <v>0</v>
      </c>
      <c r="L113" s="33">
        <v>53.34</v>
      </c>
      <c r="M113" s="33">
        <v>128.05000000000001</v>
      </c>
      <c r="N113" s="34">
        <v>2.4006374203224499</v>
      </c>
      <c r="O113" s="34">
        <v>2.3814540004427101</v>
      </c>
      <c r="P113" s="34">
        <v>2.3923958489467401</v>
      </c>
      <c r="Q113" s="34">
        <v>2.3873125150339898</v>
      </c>
      <c r="R113" s="33">
        <v>127.026756383614</v>
      </c>
      <c r="S113" s="33">
        <v>127.51061443547501</v>
      </c>
      <c r="T113" s="33">
        <v>127.306558481529</v>
      </c>
      <c r="U113" s="15">
        <v>-8.0230681909563596E-3</v>
      </c>
      <c r="V113" s="15">
        <v>-4.2212010378647304E-3</v>
      </c>
      <c r="W113" s="15">
        <v>-5.8227885229532898E-3</v>
      </c>
      <c r="X113" s="34">
        <v>2.4006374203224499</v>
      </c>
      <c r="Y113" s="34">
        <v>2.38188334875188</v>
      </c>
      <c r="Z113" s="34">
        <v>2.3923958489467401</v>
      </c>
      <c r="AA113" s="34">
        <v>2.3873125150339898</v>
      </c>
      <c r="AB113" s="33">
        <v>127.049657822425</v>
      </c>
      <c r="AC113" s="33">
        <v>127.51061443547501</v>
      </c>
      <c r="AD113" s="33">
        <v>127.306558481529</v>
      </c>
      <c r="AE113" s="15">
        <v>-7.8427961342623104E-3</v>
      </c>
      <c r="AF113" s="15">
        <v>-4.2212010378647304E-3</v>
      </c>
      <c r="AG113" s="15">
        <v>-5.8227885229532898E-3</v>
      </c>
      <c r="AI113" s="12"/>
      <c r="AJ113">
        <f t="shared" si="26"/>
        <v>1</v>
      </c>
      <c r="AK113">
        <f t="shared" si="27"/>
        <v>0</v>
      </c>
      <c r="AL113">
        <f t="shared" si="34"/>
        <v>1</v>
      </c>
      <c r="AM113">
        <f t="shared" si="24"/>
        <v>0</v>
      </c>
      <c r="AN113">
        <f t="shared" si="35"/>
        <v>1</v>
      </c>
      <c r="AO113" s="28">
        <f t="shared" si="28"/>
        <v>1.35902431417216E-2</v>
      </c>
      <c r="AP113" s="28">
        <f t="shared" si="29"/>
        <v>-1.3681609859650499E-2</v>
      </c>
      <c r="AQ113" s="28">
        <f t="shared" si="36"/>
        <v>-9.1366717928899333E-5</v>
      </c>
      <c r="AR113" s="29">
        <f t="shared" si="37"/>
        <v>1.4891458189126539E-2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1.0812518891145975E-2</v>
      </c>
      <c r="BE113" s="29">
        <f t="shared" si="42"/>
        <v>-9.1366717928899333E-5</v>
      </c>
      <c r="BF113" s="29">
        <f t="shared" si="43"/>
        <v>2.5703977080272517E-2</v>
      </c>
      <c r="BH113" s="29"/>
    </row>
    <row r="114" spans="1:60" x14ac:dyDescent="0.25">
      <c r="A114" s="1">
        <v>46188</v>
      </c>
      <c r="B114" s="33">
        <v>53.56</v>
      </c>
      <c r="C114" s="33">
        <v>128</v>
      </c>
      <c r="D114" s="15">
        <v>4.11600206910349E-3</v>
      </c>
      <c r="E114" s="15">
        <v>-3.9054872591722098E-4</v>
      </c>
      <c r="F114" s="33">
        <v>0</v>
      </c>
      <c r="G114" s="33">
        <v>0.25148999999999999</v>
      </c>
      <c r="H114" s="33">
        <v>0.38038300000000003</v>
      </c>
      <c r="I114" s="33">
        <v>0.95661499999999999</v>
      </c>
      <c r="J114" s="33">
        <v>0</v>
      </c>
      <c r="K114" s="33">
        <v>0.38038300000000003</v>
      </c>
      <c r="L114" s="33">
        <v>53.56</v>
      </c>
      <c r="M114" s="33">
        <v>128.38038299999999</v>
      </c>
      <c r="N114" s="34">
        <v>2.3898431665421902</v>
      </c>
      <c r="O114" s="34">
        <v>2.3814540004427101</v>
      </c>
      <c r="P114" s="34">
        <v>2.3930951179633899</v>
      </c>
      <c r="Q114" s="34">
        <v>2.3876657301125599</v>
      </c>
      <c r="R114" s="33">
        <v>127.550676263711</v>
      </c>
      <c r="S114" s="33">
        <v>128.13672166958699</v>
      </c>
      <c r="T114" s="33">
        <v>127.86445830522</v>
      </c>
      <c r="U114" s="15">
        <v>-3.5165173959356599E-3</v>
      </c>
      <c r="V114" s="15">
        <v>1.0675679901080101E-3</v>
      </c>
      <c r="W114" s="15">
        <v>-1.0594805418148499E-3</v>
      </c>
      <c r="X114" s="34">
        <v>2.3969451643017101</v>
      </c>
      <c r="Y114" s="34">
        <v>2.38188334875188</v>
      </c>
      <c r="Z114" s="34">
        <v>2.3938053177393499</v>
      </c>
      <c r="AA114" s="34">
        <v>2.3880208300005399</v>
      </c>
      <c r="AB114" s="33">
        <v>127.573672159151</v>
      </c>
      <c r="AC114" s="33">
        <v>128.13672166958699</v>
      </c>
      <c r="AD114" s="33">
        <v>127.86445830522</v>
      </c>
      <c r="AE114" s="15">
        <v>-6.3035806295433502E-3</v>
      </c>
      <c r="AF114" s="15">
        <v>-1.89976730019364E-3</v>
      </c>
      <c r="AG114" s="15">
        <v>-4.0268158321164899E-3</v>
      </c>
      <c r="AI114" s="12"/>
      <c r="AJ114">
        <f t="shared" si="26"/>
        <v>1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1.4891458189126539E-2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1.0812518891145975E-2</v>
      </c>
      <c r="BE114" s="29">
        <f t="shared" si="42"/>
        <v>0</v>
      </c>
      <c r="BF114" s="29">
        <f t="shared" si="43"/>
        <v>2.5703977080272517E-2</v>
      </c>
      <c r="BH114" s="29"/>
    </row>
    <row r="115" spans="1:60" x14ac:dyDescent="0.25">
      <c r="A115" s="1">
        <v>46189</v>
      </c>
      <c r="B115" s="33">
        <v>54.35</v>
      </c>
      <c r="C115" s="33">
        <v>129.57</v>
      </c>
      <c r="D115" s="15">
        <v>1.46420927442467E-2</v>
      </c>
      <c r="E115" s="15">
        <v>1.21910117211022E-2</v>
      </c>
      <c r="F115" s="33">
        <v>0</v>
      </c>
      <c r="G115" s="33">
        <v>0.25148999999999999</v>
      </c>
      <c r="H115" s="33">
        <v>0</v>
      </c>
      <c r="I115" s="33">
        <v>0.95661499999999999</v>
      </c>
      <c r="J115" s="33">
        <v>0</v>
      </c>
      <c r="K115" s="33">
        <v>0.38038300000000003</v>
      </c>
      <c r="L115" s="33">
        <v>54.35</v>
      </c>
      <c r="M115" s="33">
        <v>129.95038299999999</v>
      </c>
      <c r="N115" s="34">
        <v>2.3839926402943799</v>
      </c>
      <c r="O115" s="34">
        <v>2.3814540004427101</v>
      </c>
      <c r="P115" s="34">
        <v>2.3924349183317402</v>
      </c>
      <c r="Q115" s="34">
        <v>2.3880114773186301</v>
      </c>
      <c r="R115" s="33">
        <v>129.43202492406101</v>
      </c>
      <c r="S115" s="33">
        <v>130.06471966130999</v>
      </c>
      <c r="T115" s="33">
        <v>129.76963243161799</v>
      </c>
      <c r="U115" s="15">
        <v>-1.06543637279117E-3</v>
      </c>
      <c r="V115" s="15">
        <v>3.8108944804222801E-3</v>
      </c>
      <c r="W115" s="15">
        <v>1.5395446440410201E-3</v>
      </c>
      <c r="X115" s="34">
        <v>2.39099140754369</v>
      </c>
      <c r="Y115" s="34">
        <v>2.38188334875188</v>
      </c>
      <c r="Z115" s="34">
        <v>2.3938449948326199</v>
      </c>
      <c r="AA115" s="34">
        <v>2.3887165155690702</v>
      </c>
      <c r="AB115" s="33">
        <v>129.45536000466399</v>
      </c>
      <c r="AC115" s="33">
        <v>130.10331901913301</v>
      </c>
      <c r="AD115" s="33">
        <v>129.788932110529</v>
      </c>
      <c r="AE115" s="15">
        <v>-3.8165970459520999E-3</v>
      </c>
      <c r="AF115" s="15">
        <v>1.1761881148203499E-3</v>
      </c>
      <c r="AG115" s="15">
        <v>-1.2431765302455299E-3</v>
      </c>
      <c r="AI115" s="12"/>
      <c r="AJ115">
        <f t="shared" si="26"/>
        <v>0</v>
      </c>
      <c r="AK115">
        <f t="shared" si="27"/>
        <v>0</v>
      </c>
      <c r="AL115">
        <f t="shared" si="34"/>
        <v>1</v>
      </c>
      <c r="AM115">
        <f t="shared" si="24"/>
        <v>1</v>
      </c>
      <c r="AN115">
        <f t="shared" si="35"/>
        <v>1</v>
      </c>
      <c r="AO115" s="28">
        <f t="shared" si="28"/>
        <v>1.46420927442467E-2</v>
      </c>
      <c r="AP115" s="28">
        <f t="shared" si="29"/>
        <v>-1.21910117211022E-2</v>
      </c>
      <c r="AQ115" s="28">
        <f t="shared" si="36"/>
        <v>2.4510810231444993E-3</v>
      </c>
      <c r="AR115" s="29">
        <f t="shared" si="37"/>
        <v>1.7342539212271038E-2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1.0812518891145975E-2</v>
      </c>
      <c r="BE115" s="29">
        <f t="shared" si="42"/>
        <v>2.4510810231444993E-3</v>
      </c>
      <c r="BF115" s="29">
        <f t="shared" si="43"/>
        <v>2.8155058103417015E-2</v>
      </c>
      <c r="BH115" s="29"/>
    </row>
    <row r="116" spans="1:60" x14ac:dyDescent="0.25">
      <c r="A116" s="1">
        <v>46190</v>
      </c>
      <c r="B116" s="33">
        <v>54.05</v>
      </c>
      <c r="C116" s="33">
        <v>128.88999999999999</v>
      </c>
      <c r="D116" s="15">
        <v>-5.5350694820012498E-3</v>
      </c>
      <c r="E116" s="15">
        <v>-5.2619482240312803E-3</v>
      </c>
      <c r="F116" s="33">
        <v>0</v>
      </c>
      <c r="G116" s="33">
        <v>0.25148999999999999</v>
      </c>
      <c r="H116" s="33">
        <v>0</v>
      </c>
      <c r="I116" s="33">
        <v>0.95661499999999999</v>
      </c>
      <c r="J116" s="33">
        <v>0</v>
      </c>
      <c r="K116" s="33">
        <v>0.38038300000000003</v>
      </c>
      <c r="L116" s="33">
        <v>54.05</v>
      </c>
      <c r="M116" s="33">
        <v>129.27038299999899</v>
      </c>
      <c r="N116" s="34">
        <v>2.3846438482886199</v>
      </c>
      <c r="O116" s="34">
        <v>2.3814540004427101</v>
      </c>
      <c r="P116" s="34">
        <v>2.3917996373457799</v>
      </c>
      <c r="Q116" s="34">
        <v>2.3883395601440198</v>
      </c>
      <c r="R116" s="33">
        <v>128.717588723928</v>
      </c>
      <c r="S116" s="33">
        <v>129.31110733583</v>
      </c>
      <c r="T116" s="33">
        <v>129.07202034907101</v>
      </c>
      <c r="U116" s="15">
        <v>-1.33855763076103E-3</v>
      </c>
      <c r="V116" s="15">
        <v>3.2618582743324902E-3</v>
      </c>
      <c r="W116" s="15">
        <v>1.4112184346672799E-3</v>
      </c>
      <c r="X116" s="34">
        <v>2.39168146160962</v>
      </c>
      <c r="Y116" s="34">
        <v>2.38188334875188</v>
      </c>
      <c r="Z116" s="34">
        <v>2.3939134751787599</v>
      </c>
      <c r="AA116" s="34">
        <v>2.38939647906051</v>
      </c>
      <c r="AB116" s="33">
        <v>128.74079500003899</v>
      </c>
      <c r="AC116" s="33">
        <v>129.387321970703</v>
      </c>
      <c r="AD116" s="33">
        <v>129.11012766650799</v>
      </c>
      <c r="AE116" s="15">
        <v>-4.1051612399037396E-3</v>
      </c>
      <c r="AF116" s="15">
        <v>9.0419868748015803E-4</v>
      </c>
      <c r="AG116" s="15">
        <v>-1.24046007671076E-3</v>
      </c>
      <c r="AI116" s="12"/>
      <c r="AJ116">
        <f t="shared" si="26"/>
        <v>0</v>
      </c>
      <c r="AK116">
        <f t="shared" si="27"/>
        <v>0</v>
      </c>
      <c r="AL116">
        <f t="shared" si="34"/>
        <v>1</v>
      </c>
      <c r="AM116">
        <f t="shared" si="24"/>
        <v>1</v>
      </c>
      <c r="AN116">
        <f t="shared" si="35"/>
        <v>1</v>
      </c>
      <c r="AO116" s="28">
        <f t="shared" si="28"/>
        <v>-5.5350694820012498E-3</v>
      </c>
      <c r="AP116" s="28">
        <f t="shared" si="29"/>
        <v>5.2619482240312803E-3</v>
      </c>
      <c r="AQ116" s="28">
        <f t="shared" si="36"/>
        <v>-2.7312125796996947E-4</v>
      </c>
      <c r="AR116" s="29">
        <f t="shared" si="37"/>
        <v>1.7069417954301069E-2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1.0812518891145975E-2</v>
      </c>
      <c r="BE116" s="29">
        <f t="shared" si="42"/>
        <v>-2.7312125796996947E-4</v>
      </c>
      <c r="BF116" s="29">
        <f t="shared" si="43"/>
        <v>2.7881936845447045E-2</v>
      </c>
      <c r="BH116" s="29"/>
    </row>
    <row r="117" spans="1:60" x14ac:dyDescent="0.25">
      <c r="A117" s="1">
        <v>46191</v>
      </c>
      <c r="B117" s="33">
        <v>53.57</v>
      </c>
      <c r="C117" s="33">
        <v>127.61</v>
      </c>
      <c r="D117" s="15">
        <v>-8.9203341923482001E-3</v>
      </c>
      <c r="E117" s="15">
        <v>-9.9805896708031194E-3</v>
      </c>
      <c r="F117" s="33">
        <v>0</v>
      </c>
      <c r="G117" s="33">
        <v>0.25148999999999999</v>
      </c>
      <c r="H117" s="33">
        <v>0</v>
      </c>
      <c r="I117" s="33">
        <v>0.95661499999999999</v>
      </c>
      <c r="J117" s="33">
        <v>0</v>
      </c>
      <c r="K117" s="33">
        <v>0.38038300000000003</v>
      </c>
      <c r="L117" s="33">
        <v>53.57</v>
      </c>
      <c r="M117" s="33">
        <v>127.99038299999999</v>
      </c>
      <c r="N117" s="34">
        <v>2.3821168564495001</v>
      </c>
      <c r="O117" s="34">
        <v>2.3814540004427101</v>
      </c>
      <c r="P117" s="34">
        <v>2.3908658928316902</v>
      </c>
      <c r="Q117" s="34">
        <v>2.3884268199235201</v>
      </c>
      <c r="R117" s="33">
        <v>127.574490803716</v>
      </c>
      <c r="S117" s="33">
        <v>128.128706572613</v>
      </c>
      <c r="T117" s="33">
        <v>127.94335023691499</v>
      </c>
      <c r="U117" s="15">
        <v>-2.7830215230632198E-4</v>
      </c>
      <c r="V117" s="15">
        <v>4.0565410755698198E-3</v>
      </c>
      <c r="W117" s="15">
        <v>2.6088519338464799E-3</v>
      </c>
      <c r="X117" s="34">
        <v>2.38921752846742</v>
      </c>
      <c r="Y117" s="34">
        <v>2.38188334875188</v>
      </c>
      <c r="Z117" s="34">
        <v>2.39368979786647</v>
      </c>
      <c r="AA117" s="34">
        <v>2.3898387724408998</v>
      </c>
      <c r="AB117" s="33">
        <v>127.597490992638</v>
      </c>
      <c r="AC117" s="33">
        <v>128.24194486532599</v>
      </c>
      <c r="AD117" s="33">
        <v>127.99996938327099</v>
      </c>
      <c r="AE117" s="15">
        <v>-3.0744206342332801E-3</v>
      </c>
      <c r="AF117" s="15">
        <v>1.96354572623339E-3</v>
      </c>
      <c r="AG117" s="15">
        <v>7.4896441891816998E-5</v>
      </c>
      <c r="AI117" s="12"/>
      <c r="AJ117">
        <f t="shared" si="26"/>
        <v>0</v>
      </c>
      <c r="AK117">
        <f t="shared" si="27"/>
        <v>1</v>
      </c>
      <c r="AL117">
        <f t="shared" si="34"/>
        <v>1</v>
      </c>
      <c r="AM117">
        <f t="shared" si="24"/>
        <v>0</v>
      </c>
      <c r="AN117">
        <f t="shared" si="35"/>
        <v>1</v>
      </c>
      <c r="AO117" s="28">
        <f t="shared" si="28"/>
        <v>-8.9203341923482001E-3</v>
      </c>
      <c r="AP117" s="28">
        <f t="shared" si="29"/>
        <v>9.9805896708031194E-3</v>
      </c>
      <c r="AQ117" s="28">
        <f t="shared" si="36"/>
        <v>1.0602554784549193E-3</v>
      </c>
      <c r="AR117" s="29">
        <f t="shared" si="37"/>
        <v>1.812967343275599E-2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1.0812518891145975E-2</v>
      </c>
      <c r="BE117" s="29">
        <f t="shared" si="42"/>
        <v>1.0602554784549193E-3</v>
      </c>
      <c r="BF117" s="29">
        <f t="shared" si="43"/>
        <v>2.8942192323901966E-2</v>
      </c>
      <c r="BH117" s="29"/>
    </row>
    <row r="118" spans="1:60" x14ac:dyDescent="0.25">
      <c r="A118" s="1">
        <v>46195</v>
      </c>
      <c r="B118" s="33">
        <v>53.7</v>
      </c>
      <c r="C118" s="33">
        <v>128.56</v>
      </c>
      <c r="D118" s="15">
        <v>2.4237916219500199E-3</v>
      </c>
      <c r="E118" s="15">
        <v>7.4169836833722497E-3</v>
      </c>
      <c r="F118" s="33">
        <v>0.18708</v>
      </c>
      <c r="G118" s="33">
        <v>0.43857000000000002</v>
      </c>
      <c r="H118" s="33">
        <v>0</v>
      </c>
      <c r="I118" s="33">
        <v>0.95661499999999999</v>
      </c>
      <c r="J118" s="33">
        <v>0</v>
      </c>
      <c r="K118" s="33">
        <v>0</v>
      </c>
      <c r="L118" s="33">
        <v>53.7</v>
      </c>
      <c r="M118" s="33">
        <v>128.56</v>
      </c>
      <c r="N118" s="34">
        <v>2.3940409683426398</v>
      </c>
      <c r="O118" s="34">
        <v>2.3814540004427101</v>
      </c>
      <c r="P118" s="34">
        <v>2.39126425352829</v>
      </c>
      <c r="Q118" s="34">
        <v>2.3888557192975401</v>
      </c>
      <c r="R118" s="33">
        <v>127.88407982377301</v>
      </c>
      <c r="S118" s="33">
        <v>128.389498445062</v>
      </c>
      <c r="T118" s="33">
        <v>128.25852022989301</v>
      </c>
      <c r="U118" s="15">
        <v>-5.2714942137284202E-3</v>
      </c>
      <c r="V118" s="15">
        <v>-1.32712132924399E-3</v>
      </c>
      <c r="W118" s="15">
        <v>-2.3478050439776398E-3</v>
      </c>
      <c r="X118" s="34">
        <v>2.3940409683426398</v>
      </c>
      <c r="Y118" s="34">
        <v>2.38188334875188</v>
      </c>
      <c r="Z118" s="34">
        <v>2.3940881585630698</v>
      </c>
      <c r="AA118" s="34">
        <v>2.3902676718149301</v>
      </c>
      <c r="AB118" s="33">
        <v>127.90713582797601</v>
      </c>
      <c r="AC118" s="33">
        <v>128.54114214542901</v>
      </c>
      <c r="AD118" s="33">
        <v>128.334342080076</v>
      </c>
      <c r="AE118" s="15">
        <v>-5.0912221570344404E-3</v>
      </c>
      <c r="AF118" s="15">
        <v>-1.46696000234452E-4</v>
      </c>
      <c r="AG118" s="15">
        <v>-1.7568154762398799E-3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1.812967343275599E-2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1.0812518891145975E-2</v>
      </c>
      <c r="BE118" s="29">
        <f t="shared" si="42"/>
        <v>0</v>
      </c>
      <c r="BF118" s="29">
        <f t="shared" si="43"/>
        <v>2.8942192323901966E-2</v>
      </c>
      <c r="BH118" s="29"/>
    </row>
    <row r="119" spans="1:60" x14ac:dyDescent="0.25">
      <c r="A119" s="1">
        <v>46196</v>
      </c>
      <c r="B119" s="33">
        <v>53.88</v>
      </c>
      <c r="C119" s="33">
        <v>129.09</v>
      </c>
      <c r="D119" s="15">
        <v>3.34635002734417E-3</v>
      </c>
      <c r="E119" s="15">
        <v>4.1141140893608003E-3</v>
      </c>
      <c r="F119" s="33">
        <v>0</v>
      </c>
      <c r="G119" s="33">
        <v>0.43857000000000002</v>
      </c>
      <c r="H119" s="33">
        <v>0</v>
      </c>
      <c r="I119" s="33">
        <v>0.95661499999999999</v>
      </c>
      <c r="J119" s="33">
        <v>0</v>
      </c>
      <c r="K119" s="33">
        <v>0</v>
      </c>
      <c r="L119" s="33">
        <v>53.88</v>
      </c>
      <c r="M119" s="33">
        <v>129.09</v>
      </c>
      <c r="N119" s="34">
        <v>2.3958797327394201</v>
      </c>
      <c r="O119" s="34">
        <v>2.3814540004427101</v>
      </c>
      <c r="P119" s="34">
        <v>2.3916565369811802</v>
      </c>
      <c r="Q119" s="34">
        <v>2.38948336015092</v>
      </c>
      <c r="R119" s="33">
        <v>128.31274154385301</v>
      </c>
      <c r="S119" s="33">
        <v>128.84131798010401</v>
      </c>
      <c r="T119" s="33">
        <v>128.71154615575099</v>
      </c>
      <c r="U119" s="15">
        <v>-6.03925827574491E-3</v>
      </c>
      <c r="V119" s="15">
        <v>-1.9282815200458E-3</v>
      </c>
      <c r="W119" s="15">
        <v>-2.9360112206671799E-3</v>
      </c>
      <c r="X119" s="34">
        <v>2.3958797327394201</v>
      </c>
      <c r="Y119" s="34">
        <v>2.38188334875188</v>
      </c>
      <c r="Z119" s="34">
        <v>2.39448044201596</v>
      </c>
      <c r="AA119" s="34">
        <v>2.3908953126683001</v>
      </c>
      <c r="AB119" s="33">
        <v>128.33587483075101</v>
      </c>
      <c r="AC119" s="33">
        <v>128.99346998337799</v>
      </c>
      <c r="AD119" s="33">
        <v>128.787622157388</v>
      </c>
      <c r="AE119" s="15">
        <v>-5.8589862190510204E-3</v>
      </c>
      <c r="AF119" s="15">
        <v>-7.4805272208549201E-4</v>
      </c>
      <c r="AG119" s="15">
        <v>-2.34512772889778E-3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1.812967343275599E-2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1.0812518891145975E-2</v>
      </c>
      <c r="BE119" s="29">
        <f t="shared" si="42"/>
        <v>0</v>
      </c>
      <c r="BF119" s="29">
        <f t="shared" si="43"/>
        <v>2.8942192323901966E-2</v>
      </c>
      <c r="BH119" s="29"/>
    </row>
    <row r="120" spans="1:60" x14ac:dyDescent="0.25">
      <c r="A120" s="1">
        <v>46197</v>
      </c>
      <c r="B120" s="33">
        <v>53.72</v>
      </c>
      <c r="C120" s="33">
        <v>128.19</v>
      </c>
      <c r="D120" s="15">
        <v>-2.9739798871265002E-3</v>
      </c>
      <c r="E120" s="15">
        <v>-6.9962971945746804E-3</v>
      </c>
      <c r="F120" s="33">
        <v>0</v>
      </c>
      <c r="G120" s="33">
        <v>0.43857000000000002</v>
      </c>
      <c r="H120" s="33">
        <v>0</v>
      </c>
      <c r="I120" s="33">
        <v>0.95661499999999999</v>
      </c>
      <c r="J120" s="33">
        <v>0</v>
      </c>
      <c r="K120" s="33">
        <v>0</v>
      </c>
      <c r="L120" s="33">
        <v>53.72</v>
      </c>
      <c r="M120" s="33">
        <v>128.19</v>
      </c>
      <c r="N120" s="34">
        <v>2.38626209977661</v>
      </c>
      <c r="O120" s="34">
        <v>2.3814540004427101</v>
      </c>
      <c r="P120" s="34">
        <v>2.3912244168025301</v>
      </c>
      <c r="Q120" s="34">
        <v>2.3894039868369501</v>
      </c>
      <c r="R120" s="33">
        <v>127.931708903782</v>
      </c>
      <c r="S120" s="33">
        <v>128.47978916662899</v>
      </c>
      <c r="T120" s="33">
        <v>128.36304610730701</v>
      </c>
      <c r="U120" s="15">
        <v>-2.0169409682967501E-3</v>
      </c>
      <c r="V120" s="15">
        <v>2.2580708910363901E-3</v>
      </c>
      <c r="W120" s="15">
        <v>1.3490086060239501E-3</v>
      </c>
      <c r="X120" s="34">
        <v>2.38626209977661</v>
      </c>
      <c r="Y120" s="34">
        <v>2.38188334875188</v>
      </c>
      <c r="Z120" s="34">
        <v>2.3940483218373099</v>
      </c>
      <c r="AA120" s="34">
        <v>2.39081593935434</v>
      </c>
      <c r="AB120" s="33">
        <v>127.954773494951</v>
      </c>
      <c r="AC120" s="33">
        <v>128.63148934509701</v>
      </c>
      <c r="AD120" s="33">
        <v>128.43889619654101</v>
      </c>
      <c r="AE120" s="15">
        <v>-1.8366689116027801E-3</v>
      </c>
      <c r="AF120" s="15">
        <v>3.4381062200932E-3</v>
      </c>
      <c r="AG120" s="15">
        <v>1.93973693743249E-3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1.812967343275599E-2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1.0812518891145975E-2</v>
      </c>
      <c r="BE120" s="29">
        <f t="shared" si="42"/>
        <v>0</v>
      </c>
      <c r="BF120" s="29">
        <f t="shared" si="43"/>
        <v>2.8942192323901966E-2</v>
      </c>
      <c r="BH120" s="29"/>
    </row>
    <row r="121" spans="1:60" x14ac:dyDescent="0.25">
      <c r="A121" s="1">
        <v>46198</v>
      </c>
      <c r="B121" s="33">
        <v>53.45</v>
      </c>
      <c r="C121" s="33">
        <v>127.62</v>
      </c>
      <c r="D121" s="15">
        <v>-5.0387341839825397E-3</v>
      </c>
      <c r="E121" s="15">
        <v>-4.4564398838423903E-3</v>
      </c>
      <c r="F121" s="33">
        <v>0</v>
      </c>
      <c r="G121" s="33">
        <v>0.43857000000000002</v>
      </c>
      <c r="H121" s="33">
        <v>0</v>
      </c>
      <c r="I121" s="33">
        <v>0.95661499999999999</v>
      </c>
      <c r="J121" s="33">
        <v>0</v>
      </c>
      <c r="K121" s="33">
        <v>0</v>
      </c>
      <c r="L121" s="33">
        <v>53.45</v>
      </c>
      <c r="M121" s="33">
        <v>127.62</v>
      </c>
      <c r="N121" s="34">
        <v>2.3876520112254398</v>
      </c>
      <c r="O121" s="34">
        <v>2.3814540004427101</v>
      </c>
      <c r="P121" s="34">
        <v>2.3905486835961498</v>
      </c>
      <c r="Q121" s="34">
        <v>2.3896597884872901</v>
      </c>
      <c r="R121" s="33">
        <v>127.288716323663</v>
      </c>
      <c r="S121" s="33">
        <v>127.810945078095</v>
      </c>
      <c r="T121" s="33">
        <v>127.71364309643501</v>
      </c>
      <c r="U121" s="15">
        <v>-2.5992352684368601E-3</v>
      </c>
      <c r="V121" s="15">
        <v>1.49508207476705E-3</v>
      </c>
      <c r="W121" s="15">
        <v>7.3349598194785996E-4</v>
      </c>
      <c r="X121" s="34">
        <v>2.3876520112254398</v>
      </c>
      <c r="Y121" s="34">
        <v>2.38188334875188</v>
      </c>
      <c r="Z121" s="34">
        <v>2.3933725886309198</v>
      </c>
      <c r="AA121" s="34">
        <v>2.39107174100468</v>
      </c>
      <c r="AB121" s="33">
        <v>127.311664990788</v>
      </c>
      <c r="AC121" s="33">
        <v>127.961882802204</v>
      </c>
      <c r="AD121" s="33">
        <v>127.789111958489</v>
      </c>
      <c r="AE121" s="15">
        <v>-2.4189632117428599E-3</v>
      </c>
      <c r="AF121" s="15">
        <v>2.6753305232107101E-3</v>
      </c>
      <c r="AG121" s="15">
        <v>1.32424393089228E-3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1.812967343275599E-2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1.0812518891145975E-2</v>
      </c>
      <c r="BE121" s="29">
        <f t="shared" si="42"/>
        <v>0</v>
      </c>
      <c r="BF121" s="29">
        <f t="shared" si="43"/>
        <v>2.8942192323901966E-2</v>
      </c>
      <c r="BH121" s="29"/>
    </row>
    <row r="122" spans="1:60" x14ac:dyDescent="0.25">
      <c r="A122" s="1">
        <v>46199</v>
      </c>
      <c r="B122" s="33">
        <v>53.57</v>
      </c>
      <c r="C122" s="33">
        <v>127.85</v>
      </c>
      <c r="D122" s="15">
        <v>2.2425724218146301E-3</v>
      </c>
      <c r="E122" s="15">
        <v>1.8006032969946799E-3</v>
      </c>
      <c r="F122" s="33">
        <v>0</v>
      </c>
      <c r="G122" s="33">
        <v>0.43857000000000002</v>
      </c>
      <c r="H122" s="33">
        <v>0</v>
      </c>
      <c r="I122" s="33">
        <v>0.95661499999999999</v>
      </c>
      <c r="J122" s="33">
        <v>0</v>
      </c>
      <c r="K122" s="33">
        <v>0</v>
      </c>
      <c r="L122" s="33">
        <v>53.57</v>
      </c>
      <c r="M122" s="33">
        <v>127.85</v>
      </c>
      <c r="N122" s="34">
        <v>2.3865969759193502</v>
      </c>
      <c r="O122" s="34">
        <v>2.3814540004427101</v>
      </c>
      <c r="P122" s="34">
        <v>2.3891665719900601</v>
      </c>
      <c r="Q122" s="34">
        <v>2.3898458885023</v>
      </c>
      <c r="R122" s="33">
        <v>127.574490803716</v>
      </c>
      <c r="S122" s="33">
        <v>128.061692980245</v>
      </c>
      <c r="T122" s="33">
        <v>128.01407486926399</v>
      </c>
      <c r="U122" s="15">
        <v>-2.1572661436169301E-3</v>
      </c>
      <c r="V122" s="15">
        <v>1.65442247727197E-3</v>
      </c>
      <c r="W122" s="15">
        <v>1.2825160534022299E-3</v>
      </c>
      <c r="X122" s="34">
        <v>2.3865969759193502</v>
      </c>
      <c r="Y122" s="34">
        <v>2.38188334875188</v>
      </c>
      <c r="Z122" s="34">
        <v>2.3919904770248399</v>
      </c>
      <c r="AA122" s="34">
        <v>2.3912578410196801</v>
      </c>
      <c r="AB122" s="33">
        <v>127.597490992638</v>
      </c>
      <c r="AC122" s="33">
        <v>128.212969572958</v>
      </c>
      <c r="AD122" s="33">
        <v>128.08971316562</v>
      </c>
      <c r="AE122" s="15">
        <v>-1.97699408692289E-3</v>
      </c>
      <c r="AF122" s="15">
        <v>2.8350043481147002E-3</v>
      </c>
      <c r="AG122" s="15">
        <v>1.8732007842767399E-3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1.812967343275599E-2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1.0812518891145975E-2</v>
      </c>
      <c r="BE122" s="29">
        <f t="shared" si="42"/>
        <v>0</v>
      </c>
      <c r="BF122" s="29">
        <f t="shared" si="43"/>
        <v>2.8942192323901966E-2</v>
      </c>
      <c r="BH122" s="29"/>
    </row>
    <row r="123" spans="1:60" x14ac:dyDescent="0.25">
      <c r="A123" s="1">
        <v>46202</v>
      </c>
      <c r="B123" s="33">
        <v>53.72</v>
      </c>
      <c r="C123" s="33">
        <v>127.72</v>
      </c>
      <c r="D123" s="15">
        <v>2.7961617621678602E-3</v>
      </c>
      <c r="E123" s="15">
        <v>-1.0173338906142701E-3</v>
      </c>
      <c r="F123" s="33">
        <v>0</v>
      </c>
      <c r="G123" s="33">
        <v>0.43857000000000002</v>
      </c>
      <c r="H123" s="33">
        <v>0</v>
      </c>
      <c r="I123" s="33">
        <v>0.95661499999999999</v>
      </c>
      <c r="J123" s="33">
        <v>0</v>
      </c>
      <c r="K123" s="33">
        <v>0</v>
      </c>
      <c r="L123" s="33">
        <v>53.72</v>
      </c>
      <c r="M123" s="33">
        <v>127.72</v>
      </c>
      <c r="N123" s="34">
        <v>2.37751303052866</v>
      </c>
      <c r="O123" s="34">
        <v>2.3814540004427101</v>
      </c>
      <c r="P123" s="34">
        <v>2.3868541330106798</v>
      </c>
      <c r="Q123" s="34">
        <v>2.3896249909787102</v>
      </c>
      <c r="R123" s="33">
        <v>127.931708903782</v>
      </c>
      <c r="S123" s="33">
        <v>128.34602824730601</v>
      </c>
      <c r="T123" s="33">
        <v>128.38252113034301</v>
      </c>
      <c r="U123" s="15">
        <v>1.65622950916519E-3</v>
      </c>
      <c r="V123" s="15">
        <v>4.8895942882754397E-3</v>
      </c>
      <c r="W123" s="15">
        <v>5.1738858746341997E-3</v>
      </c>
      <c r="X123" s="34">
        <v>2.37751303052866</v>
      </c>
      <c r="Y123" s="34">
        <v>2.38188334875188</v>
      </c>
      <c r="Z123" s="34">
        <v>2.3896780380454601</v>
      </c>
      <c r="AA123" s="34">
        <v>2.3910369434961001</v>
      </c>
      <c r="AB123" s="33">
        <v>127.954773494951</v>
      </c>
      <c r="AC123" s="33">
        <v>128.497728425774</v>
      </c>
      <c r="AD123" s="33">
        <v>128.458371219577</v>
      </c>
      <c r="AE123" s="15">
        <v>1.8365015658591099E-3</v>
      </c>
      <c r="AF123" s="15">
        <v>6.0708587120099399E-3</v>
      </c>
      <c r="AG123" s="15">
        <v>5.7645246217988104E-3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1.812967343275599E-2</v>
      </c>
      <c r="AT123" s="12"/>
      <c r="AU123">
        <f t="shared" si="30"/>
        <v>1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1.0812518891145975E-2</v>
      </c>
      <c r="BE123" s="29">
        <f t="shared" si="42"/>
        <v>0</v>
      </c>
      <c r="BF123" s="29">
        <f t="shared" si="43"/>
        <v>2.8942192323901966E-2</v>
      </c>
      <c r="BH123" s="29"/>
    </row>
    <row r="124" spans="1:60" x14ac:dyDescent="0.25">
      <c r="A124" s="1">
        <v>46203</v>
      </c>
      <c r="B124" s="33">
        <v>53.61</v>
      </c>
      <c r="C124" s="33">
        <v>127.51</v>
      </c>
      <c r="D124" s="15">
        <v>-2.0497538155904499E-3</v>
      </c>
      <c r="E124" s="15">
        <v>-1.6455749511306999E-3</v>
      </c>
      <c r="F124" s="33">
        <v>0</v>
      </c>
      <c r="G124" s="33">
        <v>0.43857000000000002</v>
      </c>
      <c r="H124" s="33">
        <v>0</v>
      </c>
      <c r="I124" s="33">
        <v>0.95661499999999999</v>
      </c>
      <c r="J124" s="33">
        <v>0</v>
      </c>
      <c r="K124" s="33">
        <v>0</v>
      </c>
      <c r="L124" s="33">
        <v>53.61</v>
      </c>
      <c r="M124" s="33">
        <v>127.51</v>
      </c>
      <c r="N124" s="34">
        <v>2.37847416526767</v>
      </c>
      <c r="O124" s="34">
        <v>2.3814540004427101</v>
      </c>
      <c r="P124" s="34">
        <v>2.3857172328832301</v>
      </c>
      <c r="Q124" s="34">
        <v>2.3894061754233098</v>
      </c>
      <c r="R124" s="33">
        <v>127.669748963733</v>
      </c>
      <c r="S124" s="33">
        <v>127.959250070702</v>
      </c>
      <c r="T124" s="33">
        <v>128.10779576636801</v>
      </c>
      <c r="U124" s="15">
        <v>1.25205064470554E-3</v>
      </c>
      <c r="V124" s="15">
        <v>3.5170615146049998E-3</v>
      </c>
      <c r="W124" s="15">
        <v>4.6772710358526804E-3</v>
      </c>
      <c r="X124" s="34">
        <v>2.37847416526767</v>
      </c>
      <c r="Y124" s="34">
        <v>2.38188334875188</v>
      </c>
      <c r="Z124" s="34">
        <v>2.3878309381420499</v>
      </c>
      <c r="AA124" s="34">
        <v>2.3908181279407001</v>
      </c>
      <c r="AB124" s="33">
        <v>127.692766326588</v>
      </c>
      <c r="AC124" s="33">
        <v>128.11063961961699</v>
      </c>
      <c r="AD124" s="33">
        <v>128.183490540826</v>
      </c>
      <c r="AE124" s="15">
        <v>1.4323227013994301E-3</v>
      </c>
      <c r="AF124" s="15">
        <v>4.69946969805346E-3</v>
      </c>
      <c r="AG124" s="15">
        <v>5.2679643656865201E-3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1.812967343275599E-2</v>
      </c>
      <c r="AT124" s="12"/>
      <c r="AU124">
        <f t="shared" si="30"/>
        <v>1</v>
      </c>
      <c r="AV124">
        <f t="shared" si="31"/>
        <v>0</v>
      </c>
      <c r="AW124">
        <f t="shared" si="38"/>
        <v>1</v>
      </c>
      <c r="AX124">
        <f t="shared" si="25"/>
        <v>1</v>
      </c>
      <c r="AY124">
        <f t="shared" si="39"/>
        <v>1</v>
      </c>
      <c r="AZ124" s="28">
        <f t="shared" si="32"/>
        <v>2.0497538155904499E-3</v>
      </c>
      <c r="BA124" s="28">
        <f t="shared" si="33"/>
        <v>-1.6455749511306999E-3</v>
      </c>
      <c r="BB124" s="28">
        <f t="shared" si="40"/>
        <v>4.0417886445974992E-4</v>
      </c>
      <c r="BC124" s="29">
        <f t="shared" si="41"/>
        <v>1.1216697755605725E-2</v>
      </c>
      <c r="BE124" s="29">
        <f t="shared" si="42"/>
        <v>4.0417886445974992E-4</v>
      </c>
      <c r="BF124" s="29">
        <f t="shared" si="43"/>
        <v>2.9346371188361715E-2</v>
      </c>
      <c r="BH124" s="29"/>
    </row>
    <row r="125" spans="1:60" x14ac:dyDescent="0.25">
      <c r="A125" s="1">
        <v>46204</v>
      </c>
      <c r="B125" s="33">
        <v>54.78</v>
      </c>
      <c r="C125" s="33">
        <v>130.22999999999999</v>
      </c>
      <c r="D125" s="15">
        <v>2.1589545995485699E-2</v>
      </c>
      <c r="E125" s="15">
        <v>2.1107325084161199E-2</v>
      </c>
      <c r="F125" s="33">
        <v>0</v>
      </c>
      <c r="G125" s="33">
        <v>0.43857000000000002</v>
      </c>
      <c r="H125" s="33">
        <v>0</v>
      </c>
      <c r="I125" s="33">
        <v>0.95661499999999999</v>
      </c>
      <c r="J125" s="33">
        <v>0</v>
      </c>
      <c r="K125" s="33">
        <v>0</v>
      </c>
      <c r="L125" s="33">
        <v>54.78</v>
      </c>
      <c r="M125" s="33">
        <v>130.22999999999999</v>
      </c>
      <c r="N125" s="34">
        <v>2.3773274917853202</v>
      </c>
      <c r="O125" s="34">
        <v>2.3814540004427101</v>
      </c>
      <c r="P125" s="34">
        <v>2.3850507180323199</v>
      </c>
      <c r="Q125" s="34">
        <v>2.3887428181820298</v>
      </c>
      <c r="R125" s="33">
        <v>130.45605014425101</v>
      </c>
      <c r="S125" s="33">
        <v>130.68959001734299</v>
      </c>
      <c r="T125" s="33">
        <v>130.89167028968899</v>
      </c>
      <c r="U125" s="15">
        <v>1.73427155603013E-3</v>
      </c>
      <c r="V125" s="15">
        <v>3.5228515622312199E-3</v>
      </c>
      <c r="W125" s="15">
        <v>5.0679187609255797E-3</v>
      </c>
      <c r="X125" s="34">
        <v>2.3773274917853202</v>
      </c>
      <c r="Y125" s="34">
        <v>2.38188334875188</v>
      </c>
      <c r="Z125" s="34">
        <v>2.38646454656622</v>
      </c>
      <c r="AA125" s="34">
        <v>2.3901547706994202</v>
      </c>
      <c r="AB125" s="33">
        <v>130.479569844628</v>
      </c>
      <c r="AC125" s="33">
        <v>130.80537879142099</v>
      </c>
      <c r="AD125" s="33">
        <v>130.96901704859101</v>
      </c>
      <c r="AE125" s="15">
        <v>1.9145436127241801E-3</v>
      </c>
      <c r="AF125" s="15">
        <v>4.4084424565668896E-3</v>
      </c>
      <c r="AG125" s="15">
        <v>5.6586661689316401E-3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1.812967343275599E-2</v>
      </c>
      <c r="AT125" s="12"/>
      <c r="AU125">
        <f t="shared" si="30"/>
        <v>1</v>
      </c>
      <c r="AV125">
        <f t="shared" si="31"/>
        <v>0</v>
      </c>
      <c r="AW125">
        <f t="shared" si="38"/>
        <v>1</v>
      </c>
      <c r="AX125">
        <f t="shared" si="25"/>
        <v>1</v>
      </c>
      <c r="AY125">
        <f t="shared" si="39"/>
        <v>1</v>
      </c>
      <c r="AZ125" s="28">
        <f t="shared" si="32"/>
        <v>-2.1589545995485699E-2</v>
      </c>
      <c r="BA125" s="28">
        <f t="shared" si="33"/>
        <v>2.1107325084161199E-2</v>
      </c>
      <c r="BB125" s="28">
        <f t="shared" si="40"/>
        <v>-4.8222091132450046E-4</v>
      </c>
      <c r="BC125" s="29">
        <f t="shared" si="41"/>
        <v>1.0734476844281225E-2</v>
      </c>
      <c r="BE125" s="29">
        <f t="shared" si="42"/>
        <v>-4.8222091132450046E-4</v>
      </c>
      <c r="BF125" s="29">
        <f t="shared" si="43"/>
        <v>2.8864150277037214E-2</v>
      </c>
      <c r="BH125" s="29"/>
    </row>
    <row r="126" spans="1:60" x14ac:dyDescent="0.25">
      <c r="A126" s="1">
        <v>46205</v>
      </c>
      <c r="B126" s="33">
        <v>55.62</v>
      </c>
      <c r="C126" s="33">
        <v>131.88999999999999</v>
      </c>
      <c r="D126" s="15">
        <v>1.52176849708867E-2</v>
      </c>
      <c r="E126" s="15">
        <v>1.2666123858181499E-2</v>
      </c>
      <c r="F126" s="33">
        <v>0</v>
      </c>
      <c r="G126" s="33">
        <v>0.43857000000000002</v>
      </c>
      <c r="H126" s="33">
        <v>0</v>
      </c>
      <c r="I126" s="33">
        <v>0.95661499999999999</v>
      </c>
      <c r="J126" s="33">
        <v>0</v>
      </c>
      <c r="K126" s="33">
        <v>0</v>
      </c>
      <c r="L126" s="33">
        <v>55.62</v>
      </c>
      <c r="M126" s="33">
        <v>131.88999999999999</v>
      </c>
      <c r="N126" s="34">
        <v>2.3712693275799999</v>
      </c>
      <c r="O126" s="34">
        <v>2.3814540004427101</v>
      </c>
      <c r="P126" s="34">
        <v>2.3837132659614602</v>
      </c>
      <c r="Q126" s="34">
        <v>2.3877564516536198</v>
      </c>
      <c r="R126" s="33">
        <v>132.45647150462301</v>
      </c>
      <c r="S126" s="33">
        <v>132.656520936958</v>
      </c>
      <c r="T126" s="33">
        <v>132.861875547284</v>
      </c>
      <c r="U126" s="15">
        <v>4.2858326687353603E-3</v>
      </c>
      <c r="V126" s="15">
        <v>5.7949965045836502E-3</v>
      </c>
      <c r="W126" s="15">
        <v>7.3418170186500299E-3</v>
      </c>
      <c r="X126" s="34">
        <v>2.3712693275799999</v>
      </c>
      <c r="Y126" s="34">
        <v>2.38188334875188</v>
      </c>
      <c r="Z126" s="34">
        <v>2.3844233331632498</v>
      </c>
      <c r="AA126" s="34">
        <v>2.3891684041710102</v>
      </c>
      <c r="AB126" s="33">
        <v>132.480351857579</v>
      </c>
      <c r="AC126" s="33">
        <v>132.73515808001301</v>
      </c>
      <c r="AD126" s="33">
        <v>132.94040834630101</v>
      </c>
      <c r="AE126" s="15">
        <v>4.4661047254291398E-3</v>
      </c>
      <c r="AF126" s="15">
        <v>6.3876084933826198E-3</v>
      </c>
      <c r="AG126" s="15">
        <v>7.9327284295820592E-3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1.812967343275599E-2</v>
      </c>
      <c r="AT126" s="12"/>
      <c r="AU126">
        <f t="shared" si="30"/>
        <v>1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28">
        <f t="shared" si="32"/>
        <v>-1.52176849708867E-2</v>
      </c>
      <c r="BA126" s="28">
        <f t="shared" si="33"/>
        <v>1.2666123858181499E-2</v>
      </c>
      <c r="BB126" s="28">
        <f t="shared" si="40"/>
        <v>-2.5515611127052001E-3</v>
      </c>
      <c r="BC126" s="29">
        <f t="shared" si="41"/>
        <v>8.1829157315760244E-3</v>
      </c>
      <c r="BE126" s="29">
        <f t="shared" si="42"/>
        <v>-2.5515611127052001E-3</v>
      </c>
      <c r="BF126" s="29">
        <f t="shared" si="43"/>
        <v>2.6312589164332014E-2</v>
      </c>
      <c r="BH126" s="29"/>
    </row>
    <row r="127" spans="1:60" x14ac:dyDescent="0.25">
      <c r="A127" s="1">
        <v>46209</v>
      </c>
      <c r="B127" s="33">
        <v>56.14</v>
      </c>
      <c r="C127" s="33">
        <v>133.62</v>
      </c>
      <c r="D127" s="15">
        <v>9.3057221279176303E-3</v>
      </c>
      <c r="E127" s="15">
        <v>1.3031708659537801E-2</v>
      </c>
      <c r="F127" s="33">
        <v>0</v>
      </c>
      <c r="G127" s="33">
        <v>0.43857000000000002</v>
      </c>
      <c r="H127" s="33">
        <v>0</v>
      </c>
      <c r="I127" s="33">
        <v>0.95661499999999999</v>
      </c>
      <c r="J127" s="33">
        <v>0</v>
      </c>
      <c r="K127" s="33">
        <v>0</v>
      </c>
      <c r="L127" s="33">
        <v>56.14</v>
      </c>
      <c r="M127" s="33">
        <v>133.62</v>
      </c>
      <c r="N127" s="34">
        <v>2.3801211257570301</v>
      </c>
      <c r="O127" s="34">
        <v>2.3814540004427101</v>
      </c>
      <c r="P127" s="34">
        <v>2.3835136928922198</v>
      </c>
      <c r="Q127" s="34">
        <v>2.3871897928619501</v>
      </c>
      <c r="R127" s="33">
        <v>133.69482758485401</v>
      </c>
      <c r="S127" s="33">
        <v>133.82166275107599</v>
      </c>
      <c r="T127" s="33">
        <v>134.04864719583401</v>
      </c>
      <c r="U127" s="15">
        <v>5.59846137114921E-4</v>
      </c>
      <c r="V127" s="15">
        <v>1.5080880609467701E-3</v>
      </c>
      <c r="W127" s="15">
        <v>3.2028223458326999E-3</v>
      </c>
      <c r="X127" s="34">
        <v>2.3801211257570301</v>
      </c>
      <c r="Y127" s="34">
        <v>2.38188334875188</v>
      </c>
      <c r="Z127" s="34">
        <v>2.38351369289221</v>
      </c>
      <c r="AA127" s="34">
        <v>2.38860174537934</v>
      </c>
      <c r="AB127" s="33">
        <v>133.71893119892999</v>
      </c>
      <c r="AC127" s="33">
        <v>133.861525923785</v>
      </c>
      <c r="AD127" s="33">
        <v>134.12791421015999</v>
      </c>
      <c r="AE127" s="15">
        <v>7.4011819380895999E-4</v>
      </c>
      <c r="AF127" s="15">
        <v>1.8059265109489301E-3</v>
      </c>
      <c r="AG127" s="15">
        <v>3.79397778625617E-3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1.812967343275599E-2</v>
      </c>
      <c r="AT127" s="12"/>
      <c r="AU127">
        <f t="shared" si="30"/>
        <v>0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28">
        <f t="shared" si="32"/>
        <v>-9.3057221279176303E-3</v>
      </c>
      <c r="BA127" s="28">
        <f t="shared" si="33"/>
        <v>1.3031708659537801E-2</v>
      </c>
      <c r="BB127" s="28">
        <f t="shared" si="40"/>
        <v>3.7259865316201703E-3</v>
      </c>
      <c r="BC127" s="29">
        <f t="shared" si="41"/>
        <v>1.1908902263196195E-2</v>
      </c>
      <c r="BE127" s="29">
        <f t="shared" si="42"/>
        <v>3.7259865316201703E-3</v>
      </c>
      <c r="BF127" s="29">
        <f t="shared" si="43"/>
        <v>3.0038575695952183E-2</v>
      </c>
      <c r="BH127" s="29"/>
    </row>
    <row r="128" spans="1:60" x14ac:dyDescent="0.25">
      <c r="A128" s="1">
        <v>46210</v>
      </c>
      <c r="B128" s="33">
        <v>56.05</v>
      </c>
      <c r="C128" s="33">
        <v>133.6</v>
      </c>
      <c r="D128" s="15">
        <v>-1.60442141556761E-3</v>
      </c>
      <c r="E128" s="15">
        <v>-1.4968939478595601E-4</v>
      </c>
      <c r="F128" s="33">
        <v>0</v>
      </c>
      <c r="G128" s="33">
        <v>0.43857000000000002</v>
      </c>
      <c r="H128" s="33">
        <v>0</v>
      </c>
      <c r="I128" s="33">
        <v>0.95661499999999999</v>
      </c>
      <c r="J128" s="33">
        <v>0</v>
      </c>
      <c r="K128" s="33">
        <v>0</v>
      </c>
      <c r="L128" s="33">
        <v>56.05</v>
      </c>
      <c r="M128" s="33">
        <v>133.6</v>
      </c>
      <c r="N128" s="34">
        <v>2.3835860838537002</v>
      </c>
      <c r="O128" s="34">
        <v>2.3814540004427101</v>
      </c>
      <c r="P128" s="34">
        <v>2.3824682044433199</v>
      </c>
      <c r="Q128" s="34">
        <v>2.3868662289858098</v>
      </c>
      <c r="R128" s="33">
        <v>133.480496724814</v>
      </c>
      <c r="S128" s="33">
        <v>133.59594248660801</v>
      </c>
      <c r="T128" s="33">
        <v>133.801987889912</v>
      </c>
      <c r="U128" s="15">
        <v>-8.9488588366657296E-4</v>
      </c>
      <c r="V128" s="15">
        <v>-3.0371070410914899E-5</v>
      </c>
      <c r="W128" s="15">
        <v>1.5107436554519999E-3</v>
      </c>
      <c r="X128" s="34">
        <v>2.3835860838537002</v>
      </c>
      <c r="Y128" s="34">
        <v>2.38188334875188</v>
      </c>
      <c r="Z128" s="34">
        <v>2.3824682044433199</v>
      </c>
      <c r="AA128" s="34">
        <v>2.3882781815031899</v>
      </c>
      <c r="AB128" s="33">
        <v>133.50456169754301</v>
      </c>
      <c r="AC128" s="33">
        <v>133.59594248660801</v>
      </c>
      <c r="AD128" s="33">
        <v>133.88112782851201</v>
      </c>
      <c r="AE128" s="15">
        <v>-7.1461382697279396E-4</v>
      </c>
      <c r="AF128" s="15">
        <v>-3.03710704111369E-5</v>
      </c>
      <c r="AG128" s="15">
        <v>2.1020393798236699E-3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1.812967343275599E-2</v>
      </c>
      <c r="AT128" s="12"/>
      <c r="AU128">
        <f t="shared" si="30"/>
        <v>0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8">
        <f t="shared" si="32"/>
        <v>1.60442141556761E-3</v>
      </c>
      <c r="BA128" s="28">
        <f t="shared" si="33"/>
        <v>-1.4968939478595601E-4</v>
      </c>
      <c r="BB128" s="28">
        <f t="shared" si="40"/>
        <v>1.454732020781654E-3</v>
      </c>
      <c r="BC128" s="29">
        <f t="shared" si="41"/>
        <v>1.3363634283977849E-2</v>
      </c>
      <c r="BE128" s="29">
        <f t="shared" si="42"/>
        <v>1.454732020781654E-3</v>
      </c>
      <c r="BF128" s="29">
        <f t="shared" si="43"/>
        <v>3.1493307716733837E-2</v>
      </c>
      <c r="BH128" s="29"/>
    </row>
    <row r="129" spans="1:60" x14ac:dyDescent="0.25">
      <c r="A129" s="1">
        <v>46211</v>
      </c>
      <c r="B129" s="33">
        <v>54.97</v>
      </c>
      <c r="C129" s="33">
        <v>131.22999999999999</v>
      </c>
      <c r="D129" s="15">
        <v>-1.9456567645599901E-2</v>
      </c>
      <c r="E129" s="15">
        <v>-1.7898752194349998E-2</v>
      </c>
      <c r="F129" s="33">
        <v>0</v>
      </c>
      <c r="G129" s="33">
        <v>0.43857000000000002</v>
      </c>
      <c r="H129" s="33">
        <v>0</v>
      </c>
      <c r="I129" s="33">
        <v>0.95661499999999999</v>
      </c>
      <c r="J129" s="33">
        <v>0</v>
      </c>
      <c r="K129" s="33">
        <v>0</v>
      </c>
      <c r="L129" s="33">
        <v>54.97</v>
      </c>
      <c r="M129" s="33">
        <v>131.22999999999999</v>
      </c>
      <c r="N129" s="34">
        <v>2.3873021648171702</v>
      </c>
      <c r="O129" s="34">
        <v>2.3814540004427101</v>
      </c>
      <c r="P129" s="34">
        <v>2.3816104476511</v>
      </c>
      <c r="Q129" s="34">
        <v>2.3866334923161401</v>
      </c>
      <c r="R129" s="33">
        <v>130.90852640433599</v>
      </c>
      <c r="S129" s="33">
        <v>130.96427719824899</v>
      </c>
      <c r="T129" s="33">
        <v>131.20603660735</v>
      </c>
      <c r="U129" s="15">
        <v>-2.4527013349164E-3</v>
      </c>
      <c r="V129" s="15">
        <v>-2.0269160377124201E-3</v>
      </c>
      <c r="W129" s="15">
        <v>-1.8262272991455801E-4</v>
      </c>
      <c r="X129" s="34">
        <v>2.3873021648171702</v>
      </c>
      <c r="Y129" s="34">
        <v>2.38188334875188</v>
      </c>
      <c r="Z129" s="34">
        <v>2.3816104476511</v>
      </c>
      <c r="AA129" s="34">
        <v>2.38804544483353</v>
      </c>
      <c r="AB129" s="33">
        <v>130.932127680891</v>
      </c>
      <c r="AC129" s="33">
        <v>130.96427719824899</v>
      </c>
      <c r="AD129" s="33">
        <v>131.28365163723001</v>
      </c>
      <c r="AE129" s="15">
        <v>-2.2724292782225299E-3</v>
      </c>
      <c r="AF129" s="15">
        <v>-2.0269160377124201E-3</v>
      </c>
      <c r="AG129" s="15">
        <v>4.0875312688077101E-4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1.812967343275599E-2</v>
      </c>
      <c r="AT129" s="12"/>
      <c r="AU129">
        <f t="shared" si="30"/>
        <v>0</v>
      </c>
      <c r="AV129">
        <f t="shared" si="31"/>
        <v>1</v>
      </c>
      <c r="AW129">
        <f t="shared" si="38"/>
        <v>1</v>
      </c>
      <c r="AX129">
        <f t="shared" si="25"/>
        <v>1</v>
      </c>
      <c r="AY129">
        <f t="shared" si="39"/>
        <v>1</v>
      </c>
      <c r="AZ129" s="28">
        <f t="shared" si="32"/>
        <v>1.9456567645599901E-2</v>
      </c>
      <c r="BA129" s="28">
        <f t="shared" si="33"/>
        <v>-1.7898752194349998E-2</v>
      </c>
      <c r="BB129" s="28">
        <f t="shared" si="40"/>
        <v>1.5578154512499026E-3</v>
      </c>
      <c r="BC129" s="29">
        <f t="shared" si="41"/>
        <v>1.4921449735227752E-2</v>
      </c>
      <c r="BE129" s="29">
        <f t="shared" si="42"/>
        <v>1.5578154512499026E-3</v>
      </c>
      <c r="BF129" s="29">
        <f t="shared" si="43"/>
        <v>3.305112316798374E-2</v>
      </c>
      <c r="BH129" s="29"/>
    </row>
    <row r="130" spans="1:60" x14ac:dyDescent="0.25">
      <c r="A130" s="1">
        <v>46212</v>
      </c>
      <c r="B130" s="33">
        <v>55.54</v>
      </c>
      <c r="C130" s="33">
        <v>132.5</v>
      </c>
      <c r="D130" s="15">
        <v>1.03159000060844E-2</v>
      </c>
      <c r="E130" s="15">
        <v>9.6311365180817097E-3</v>
      </c>
      <c r="F130" s="33">
        <v>0</v>
      </c>
      <c r="G130" s="33">
        <v>0.43857000000000002</v>
      </c>
      <c r="H130" s="33">
        <v>0</v>
      </c>
      <c r="I130" s="33">
        <v>0.95661499999999999</v>
      </c>
      <c r="J130" s="33">
        <v>0</v>
      </c>
      <c r="K130" s="33">
        <v>0</v>
      </c>
      <c r="L130" s="33">
        <v>55.54</v>
      </c>
      <c r="M130" s="33">
        <v>132.5</v>
      </c>
      <c r="N130" s="34">
        <v>2.3856679870363702</v>
      </c>
      <c r="O130" s="34">
        <v>2.3814540004427101</v>
      </c>
      <c r="P130" s="34">
        <v>2.3815510363770702</v>
      </c>
      <c r="Q130" s="34">
        <v>2.3863877265897999</v>
      </c>
      <c r="R130" s="33">
        <v>132.26595518458799</v>
      </c>
      <c r="S130" s="33">
        <v>132.27464426254201</v>
      </c>
      <c r="T130" s="33">
        <v>132.553624163238</v>
      </c>
      <c r="U130" s="15">
        <v>-1.76793784691362E-3</v>
      </c>
      <c r="V130" s="15">
        <v>-1.70224601756893E-3</v>
      </c>
      <c r="W130" s="15">
        <v>4.0462879267939101E-4</v>
      </c>
      <c r="X130" s="34">
        <v>2.3856679870363702</v>
      </c>
      <c r="Y130" s="34">
        <v>2.38188334875188</v>
      </c>
      <c r="Z130" s="34">
        <v>2.3815510363770702</v>
      </c>
      <c r="AA130" s="34">
        <v>2.3877996791071898</v>
      </c>
      <c r="AB130" s="33">
        <v>132.289801189679</v>
      </c>
      <c r="AC130" s="33">
        <v>132.27464426254201</v>
      </c>
      <c r="AD130" s="33">
        <v>132.632044006054</v>
      </c>
      <c r="AE130" s="15">
        <v>-1.5876657902197599E-3</v>
      </c>
      <c r="AF130" s="15">
        <v>-1.7022460175687101E-3</v>
      </c>
      <c r="AG130" s="15">
        <v>9.9606230145824208E-4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1.812967343275599E-2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1.4921449735227752E-2</v>
      </c>
      <c r="BE130" s="29">
        <f t="shared" si="42"/>
        <v>0</v>
      </c>
      <c r="BF130" s="29">
        <f t="shared" si="43"/>
        <v>3.305112316798374E-2</v>
      </c>
      <c r="BH130" s="29"/>
    </row>
    <row r="131" spans="1:60" x14ac:dyDescent="0.25">
      <c r="A131" s="1">
        <v>46213</v>
      </c>
      <c r="B131" s="33">
        <v>55.71</v>
      </c>
      <c r="C131" s="33">
        <v>132.94999999999999</v>
      </c>
      <c r="D131" s="15">
        <v>3.0561821540707099E-3</v>
      </c>
      <c r="E131" s="15">
        <v>3.3904722627517599E-3</v>
      </c>
      <c r="F131" s="33">
        <v>0</v>
      </c>
      <c r="G131" s="33">
        <v>0.43857000000000002</v>
      </c>
      <c r="H131" s="33">
        <v>0</v>
      </c>
      <c r="I131" s="33">
        <v>0.95661499999999999</v>
      </c>
      <c r="J131" s="33">
        <v>0</v>
      </c>
      <c r="K131" s="33">
        <v>0</v>
      </c>
      <c r="L131" s="33">
        <v>55.71</v>
      </c>
      <c r="M131" s="33">
        <v>132.94999999999999</v>
      </c>
      <c r="N131" s="34">
        <v>2.3864656255609402</v>
      </c>
      <c r="O131" s="34">
        <v>2.3814540004427101</v>
      </c>
      <c r="P131" s="34">
        <v>2.3814323978106202</v>
      </c>
      <c r="Q131" s="34">
        <v>2.3859905407033799</v>
      </c>
      <c r="R131" s="33">
        <v>132.67080236466299</v>
      </c>
      <c r="S131" s="33">
        <v>132.676208236566</v>
      </c>
      <c r="T131" s="33">
        <v>132.94566024831801</v>
      </c>
      <c r="U131" s="15">
        <v>-2.10222795559491E-3</v>
      </c>
      <c r="V131" s="15">
        <v>-2.0614822777620901E-3</v>
      </c>
      <c r="W131" s="15">
        <v>-3.2642516077004099E-5</v>
      </c>
      <c r="X131" s="34">
        <v>2.3864656255609402</v>
      </c>
      <c r="Y131" s="34">
        <v>2.38188334875188</v>
      </c>
      <c r="Z131" s="34">
        <v>2.3814323978106202</v>
      </c>
      <c r="AA131" s="34">
        <v>2.3874024932207698</v>
      </c>
      <c r="AB131" s="33">
        <v>132.694721358967</v>
      </c>
      <c r="AC131" s="33">
        <v>132.676208236566</v>
      </c>
      <c r="AD131" s="33">
        <v>133.02432012306099</v>
      </c>
      <c r="AE131" s="15">
        <v>-1.9219558989008599E-3</v>
      </c>
      <c r="AF131" s="15">
        <v>-2.0614822777618698E-3</v>
      </c>
      <c r="AG131" s="15">
        <v>5.5885188436030696E-4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1.812967343275599E-2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1.4921449735227752E-2</v>
      </c>
      <c r="BE131" s="29">
        <f t="shared" si="42"/>
        <v>0</v>
      </c>
      <c r="BF131" s="29">
        <f t="shared" si="43"/>
        <v>3.305112316798374E-2</v>
      </c>
      <c r="BH131" s="29"/>
    </row>
    <row r="132" spans="1:60" x14ac:dyDescent="0.25">
      <c r="A132" s="1">
        <v>46216</v>
      </c>
      <c r="B132" s="33">
        <v>56.07</v>
      </c>
      <c r="C132" s="33">
        <v>133.30000000000001</v>
      </c>
      <c r="D132" s="15">
        <v>6.4412461028570704E-3</v>
      </c>
      <c r="E132" s="15">
        <v>2.62910949563423E-3</v>
      </c>
      <c r="F132" s="33">
        <v>0</v>
      </c>
      <c r="G132" s="33">
        <v>0.43857000000000002</v>
      </c>
      <c r="H132" s="33">
        <v>0</v>
      </c>
      <c r="I132" s="33">
        <v>0.95661499999999999</v>
      </c>
      <c r="J132" s="33">
        <v>0</v>
      </c>
      <c r="K132" s="33">
        <v>0</v>
      </c>
      <c r="L132" s="33">
        <v>56.07</v>
      </c>
      <c r="M132" s="33">
        <v>133.30000000000001</v>
      </c>
      <c r="N132" s="34">
        <v>2.37738541109327</v>
      </c>
      <c r="O132" s="34">
        <v>2.3814540004427101</v>
      </c>
      <c r="P132" s="34">
        <v>2.3805112413280098</v>
      </c>
      <c r="Q132" s="34">
        <v>2.3848389066590401</v>
      </c>
      <c r="R132" s="33">
        <v>133.52812580482299</v>
      </c>
      <c r="S132" s="33">
        <v>133.526914545241</v>
      </c>
      <c r="T132" s="33">
        <v>133.78248961723901</v>
      </c>
      <c r="U132" s="15">
        <v>1.70990865162783E-3</v>
      </c>
      <c r="V132" s="15">
        <v>1.7008374161273101E-3</v>
      </c>
      <c r="W132" s="15">
        <v>3.61304211894691E-3</v>
      </c>
      <c r="X132" s="34">
        <v>2.37738541109327</v>
      </c>
      <c r="Y132" s="34">
        <v>2.38188334875188</v>
      </c>
      <c r="Z132" s="34">
        <v>2.3805112413280098</v>
      </c>
      <c r="AA132" s="34">
        <v>2.3862508591764202</v>
      </c>
      <c r="AB132" s="33">
        <v>133.552199364518</v>
      </c>
      <c r="AC132" s="33">
        <v>133.526914545241</v>
      </c>
      <c r="AD132" s="33">
        <v>133.861657794888</v>
      </c>
      <c r="AE132" s="15">
        <v>1.89018070832165E-3</v>
      </c>
      <c r="AF132" s="15">
        <v>1.7008374161273101E-3</v>
      </c>
      <c r="AG132" s="15">
        <v>4.2046349538688698E-3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1.812967343275599E-2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1.4921449735227752E-2</v>
      </c>
      <c r="BE132" s="29">
        <f t="shared" si="42"/>
        <v>0</v>
      </c>
      <c r="BF132" s="29">
        <f t="shared" si="43"/>
        <v>3.305112316798374E-2</v>
      </c>
      <c r="BH132" s="29"/>
    </row>
    <row r="133" spans="1:60" x14ac:dyDescent="0.25">
      <c r="A133" s="1">
        <v>46217</v>
      </c>
      <c r="B133" s="33">
        <v>56.18</v>
      </c>
      <c r="C133" s="33">
        <v>133.63999999999999</v>
      </c>
      <c r="D133" s="15">
        <v>1.9599115405164202E-3</v>
      </c>
      <c r="E133" s="15">
        <v>2.5473903038926E-3</v>
      </c>
      <c r="F133" s="33">
        <v>0</v>
      </c>
      <c r="G133" s="33">
        <v>0.43857000000000002</v>
      </c>
      <c r="H133" s="33">
        <v>0</v>
      </c>
      <c r="I133" s="33">
        <v>0.95661499999999999</v>
      </c>
      <c r="J133" s="33">
        <v>0</v>
      </c>
      <c r="K133" s="33">
        <v>0</v>
      </c>
      <c r="L133" s="33">
        <v>56.18</v>
      </c>
      <c r="M133" s="33">
        <v>133.63999999999999</v>
      </c>
      <c r="N133" s="34">
        <v>2.3787824848700598</v>
      </c>
      <c r="O133" s="34">
        <v>2.3814540004427101</v>
      </c>
      <c r="P133" s="34">
        <v>2.38063818676215</v>
      </c>
      <c r="Q133" s="34">
        <v>2.38374615988642</v>
      </c>
      <c r="R133" s="33">
        <v>133.79008574487099</v>
      </c>
      <c r="S133" s="33">
        <v>133.73712153780701</v>
      </c>
      <c r="T133" s="33">
        <v>133.98024977610399</v>
      </c>
      <c r="U133" s="15">
        <v>1.1224298882517099E-3</v>
      </c>
      <c r="V133" s="15">
        <v>7.2647608382389096E-4</v>
      </c>
      <c r="W133" s="15">
        <v>2.5427818688617898E-3</v>
      </c>
      <c r="X133" s="34">
        <v>2.3787824848700598</v>
      </c>
      <c r="Y133" s="34">
        <v>2.38188334875188</v>
      </c>
      <c r="Z133" s="34">
        <v>2.38063818676215</v>
      </c>
      <c r="AA133" s="34">
        <v>2.3851581124038002</v>
      </c>
      <c r="AB133" s="33">
        <v>133.81420653288001</v>
      </c>
      <c r="AC133" s="33">
        <v>133.73712153780701</v>
      </c>
      <c r="AD133" s="33">
        <v>134.05957326853101</v>
      </c>
      <c r="AE133" s="15">
        <v>1.3027019449455199E-3</v>
      </c>
      <c r="AF133" s="15">
        <v>7.2647608382389096E-4</v>
      </c>
      <c r="AG133" s="15">
        <v>3.13466029827971E-3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1.812967343275599E-2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1.4921449735227752E-2</v>
      </c>
      <c r="BE133" s="29">
        <f t="shared" si="42"/>
        <v>0</v>
      </c>
      <c r="BF133" s="29">
        <f t="shared" si="43"/>
        <v>3.305112316798374E-2</v>
      </c>
      <c r="BH133" s="29"/>
    </row>
    <row r="134" spans="1:60" x14ac:dyDescent="0.25">
      <c r="A134" s="1">
        <v>46218</v>
      </c>
      <c r="B134" s="33">
        <v>56.56</v>
      </c>
      <c r="C134" s="33">
        <v>134.5</v>
      </c>
      <c r="D134" s="15">
        <v>6.7411999122197197E-3</v>
      </c>
      <c r="E134" s="15">
        <v>6.4145815533381998E-3</v>
      </c>
      <c r="F134" s="33">
        <v>0</v>
      </c>
      <c r="G134" s="33">
        <v>0.43857000000000002</v>
      </c>
      <c r="H134" s="33">
        <v>0</v>
      </c>
      <c r="I134" s="33">
        <v>0.95661499999999999</v>
      </c>
      <c r="J134" s="33">
        <v>0</v>
      </c>
      <c r="K134" s="33">
        <v>0</v>
      </c>
      <c r="L134" s="33">
        <v>56.56</v>
      </c>
      <c r="M134" s="33">
        <v>134.5</v>
      </c>
      <c r="N134" s="34">
        <v>2.3780056577086199</v>
      </c>
      <c r="O134" s="34">
        <v>2.3814540004427101</v>
      </c>
      <c r="P134" s="34">
        <v>2.3805913360062498</v>
      </c>
      <c r="Q134" s="34">
        <v>2.38315428444474</v>
      </c>
      <c r="R134" s="33">
        <v>134.69503826503899</v>
      </c>
      <c r="S134" s="33">
        <v>134.64889584326701</v>
      </c>
      <c r="T134" s="33">
        <v>134.82468280317599</v>
      </c>
      <c r="U134" s="15">
        <v>1.44904824713338E-3</v>
      </c>
      <c r="V134" s="15">
        <v>1.10641998355936E-3</v>
      </c>
      <c r="W134" s="15">
        <v>2.4110895227868298E-3</v>
      </c>
      <c r="X134" s="34">
        <v>2.3780056577086199</v>
      </c>
      <c r="Y134" s="34">
        <v>2.38188334875188</v>
      </c>
      <c r="Z134" s="34">
        <v>2.3805913360062498</v>
      </c>
      <c r="AA134" s="34">
        <v>2.3842111370741499</v>
      </c>
      <c r="AB134" s="33">
        <v>134.719322205406</v>
      </c>
      <c r="AC134" s="33">
        <v>134.64889584326701</v>
      </c>
      <c r="AD134" s="33">
        <v>134.90454283755901</v>
      </c>
      <c r="AE134" s="15">
        <v>1.62932030382705E-3</v>
      </c>
      <c r="AF134" s="15">
        <v>1.10641998355936E-3</v>
      </c>
      <c r="AG134" s="15">
        <v>3.0032391982787198E-3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1.812967343275599E-2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1.4921449735227752E-2</v>
      </c>
      <c r="BE134" s="29">
        <f t="shared" si="42"/>
        <v>0</v>
      </c>
      <c r="BF134" s="29">
        <f t="shared" si="43"/>
        <v>3.305112316798374E-2</v>
      </c>
      <c r="BH134" s="29"/>
    </row>
    <row r="135" spans="1:60" x14ac:dyDescent="0.25">
      <c r="A135" s="1">
        <v>46219</v>
      </c>
      <c r="B135" s="33">
        <v>56.75</v>
      </c>
      <c r="C135" s="33">
        <v>134.56</v>
      </c>
      <c r="D135" s="15">
        <v>3.3536347731947498E-3</v>
      </c>
      <c r="E135" s="15">
        <v>4.4599718274423002E-4</v>
      </c>
      <c r="F135" s="33">
        <v>0</v>
      </c>
      <c r="G135" s="33">
        <v>0.43857000000000002</v>
      </c>
      <c r="H135" s="33">
        <v>0</v>
      </c>
      <c r="I135" s="33">
        <v>0.95661499999999999</v>
      </c>
      <c r="J135" s="33">
        <v>0</v>
      </c>
      <c r="K135" s="33">
        <v>0</v>
      </c>
      <c r="L135" s="33">
        <v>56.75</v>
      </c>
      <c r="M135" s="33">
        <v>134.56</v>
      </c>
      <c r="N135" s="34">
        <v>2.3711013215859</v>
      </c>
      <c r="O135" s="34">
        <v>2.3814540004427101</v>
      </c>
      <c r="P135" s="34">
        <v>2.3799687189863001</v>
      </c>
      <c r="Q135" s="34">
        <v>2.38250971850931</v>
      </c>
      <c r="R135" s="33">
        <v>135.147514525124</v>
      </c>
      <c r="S135" s="33">
        <v>135.09855831835401</v>
      </c>
      <c r="T135" s="33">
        <v>135.24400564223899</v>
      </c>
      <c r="U135" s="15">
        <v>4.3566858375839804E-3</v>
      </c>
      <c r="V135" s="15">
        <v>3.9943774658858797E-3</v>
      </c>
      <c r="W135" s="15">
        <v>5.0703999448257304E-3</v>
      </c>
      <c r="X135" s="34">
        <v>2.3711013215859</v>
      </c>
      <c r="Y135" s="34">
        <v>2.38188334875188</v>
      </c>
      <c r="Z135" s="34">
        <v>2.3799687189863001</v>
      </c>
      <c r="AA135" s="34">
        <v>2.3832166327762598</v>
      </c>
      <c r="AB135" s="33">
        <v>135.171880041669</v>
      </c>
      <c r="AC135" s="33">
        <v>135.09855831835401</v>
      </c>
      <c r="AD135" s="33">
        <v>135.30398202895799</v>
      </c>
      <c r="AE135" s="15">
        <v>4.53695789427768E-3</v>
      </c>
      <c r="AF135" s="15">
        <v>3.9943774658858797E-3</v>
      </c>
      <c r="AG135" s="15">
        <v>5.5137696273567498E-3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1.812967343275599E-2</v>
      </c>
      <c r="AT135" s="12"/>
      <c r="AU135">
        <f t="shared" si="30"/>
        <v>1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1.4921449735227752E-2</v>
      </c>
      <c r="BE135" s="29">
        <f t="shared" si="42"/>
        <v>0</v>
      </c>
      <c r="BF135" s="29">
        <f t="shared" si="43"/>
        <v>3.305112316798374E-2</v>
      </c>
      <c r="BH135" s="29"/>
    </row>
    <row r="136" spans="1:60" x14ac:dyDescent="0.25">
      <c r="A136" s="1">
        <v>46220</v>
      </c>
      <c r="B136" s="33">
        <v>56.26</v>
      </c>
      <c r="C136" s="33">
        <v>133.63</v>
      </c>
      <c r="D136" s="15">
        <v>-8.6718532998012396E-3</v>
      </c>
      <c r="E136" s="15">
        <v>-6.9354094316684701E-3</v>
      </c>
      <c r="F136" s="33">
        <v>0</v>
      </c>
      <c r="G136" s="33">
        <v>0.43857000000000002</v>
      </c>
      <c r="H136" s="33">
        <v>0</v>
      </c>
      <c r="I136" s="33">
        <v>0.95661499999999999</v>
      </c>
      <c r="J136" s="33">
        <v>0</v>
      </c>
      <c r="K136" s="33">
        <v>0</v>
      </c>
      <c r="L136" s="33">
        <v>56.26</v>
      </c>
      <c r="M136" s="33">
        <v>133.63</v>
      </c>
      <c r="N136" s="34">
        <v>2.37522218272307</v>
      </c>
      <c r="O136" s="34">
        <v>2.3814540004427101</v>
      </c>
      <c r="P136" s="34">
        <v>2.3803640045006098</v>
      </c>
      <c r="Q136" s="34">
        <v>2.3820386352310399</v>
      </c>
      <c r="R136" s="33">
        <v>133.980602064907</v>
      </c>
      <c r="S136" s="33">
        <v>133.89704013016899</v>
      </c>
      <c r="T136" s="33">
        <v>134.03999676333399</v>
      </c>
      <c r="U136" s="15">
        <v>2.6202419694509901E-3</v>
      </c>
      <c r="V136" s="15">
        <v>1.9963605826874399E-3</v>
      </c>
      <c r="W136" s="15">
        <v>3.0634519291257499E-3</v>
      </c>
      <c r="X136" s="34">
        <v>2.37522218272307</v>
      </c>
      <c r="Y136" s="34">
        <v>2.38188334875188</v>
      </c>
      <c r="Z136" s="34">
        <v>2.3803640045006098</v>
      </c>
      <c r="AA136" s="34">
        <v>2.3823936688319298</v>
      </c>
      <c r="AB136" s="33">
        <v>134.004757200781</v>
      </c>
      <c r="AC136" s="33">
        <v>133.89704013016899</v>
      </c>
      <c r="AD136" s="33">
        <v>134.079767759992</v>
      </c>
      <c r="AE136" s="15">
        <v>2.8005140261449599E-3</v>
      </c>
      <c r="AF136" s="15">
        <v>1.9963605826874399E-3</v>
      </c>
      <c r="AG136" s="15">
        <v>3.3601178390097802E-3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1.812967343275599E-2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8.6718532998012396E-3</v>
      </c>
      <c r="BA136" s="28">
        <f t="shared" si="33"/>
        <v>-6.9354094316684701E-3</v>
      </c>
      <c r="BB136" s="28">
        <f t="shared" si="40"/>
        <v>1.7364438681327695E-3</v>
      </c>
      <c r="BC136" s="29">
        <f t="shared" si="41"/>
        <v>1.6657893603360521E-2</v>
      </c>
      <c r="BE136" s="29">
        <f t="shared" si="42"/>
        <v>1.7364438681327695E-3</v>
      </c>
      <c r="BF136" s="29">
        <f t="shared" si="43"/>
        <v>3.4787567036116511E-2</v>
      </c>
      <c r="BH136" s="29"/>
    </row>
    <row r="137" spans="1:60" x14ac:dyDescent="0.25">
      <c r="A137" s="1">
        <v>46223</v>
      </c>
      <c r="B137" s="33">
        <v>56.04</v>
      </c>
      <c r="C137" s="33">
        <v>132.91999999999999</v>
      </c>
      <c r="D137" s="15">
        <v>-3.9180815929045097E-3</v>
      </c>
      <c r="E137" s="15">
        <v>-5.32734330657611E-3</v>
      </c>
      <c r="F137" s="33">
        <v>0</v>
      </c>
      <c r="G137" s="33">
        <v>0.43857000000000002</v>
      </c>
      <c r="H137" s="33">
        <v>0</v>
      </c>
      <c r="I137" s="33">
        <v>0.95661499999999999</v>
      </c>
      <c r="J137" s="33">
        <v>0</v>
      </c>
      <c r="K137" s="33">
        <v>0</v>
      </c>
      <c r="L137" s="33">
        <v>56.04</v>
      </c>
      <c r="M137" s="33">
        <v>132.91999999999999</v>
      </c>
      <c r="N137" s="34">
        <v>2.3718772305495999</v>
      </c>
      <c r="O137" s="34">
        <v>2.3814540004427101</v>
      </c>
      <c r="P137" s="34">
        <v>2.37953961497987</v>
      </c>
      <c r="Q137" s="34">
        <v>2.38152665393604</v>
      </c>
      <c r="R137" s="33">
        <v>133.45668218480901</v>
      </c>
      <c r="S137" s="33">
        <v>133.39559881221399</v>
      </c>
      <c r="T137" s="33">
        <v>133.48944511834699</v>
      </c>
      <c r="U137" s="15">
        <v>4.0295036831226603E-3</v>
      </c>
      <c r="V137" s="15">
        <v>3.5716970386833798E-3</v>
      </c>
      <c r="W137" s="15">
        <v>4.2749684443708098E-3</v>
      </c>
      <c r="X137" s="34">
        <v>2.3718772305495999</v>
      </c>
      <c r="Y137" s="34">
        <v>2.38188334875188</v>
      </c>
      <c r="Z137" s="34">
        <v>2.37953961497987</v>
      </c>
      <c r="AA137" s="34">
        <v>2.38152665393604</v>
      </c>
      <c r="AB137" s="33">
        <v>133.480742864055</v>
      </c>
      <c r="AC137" s="33">
        <v>133.39559881221399</v>
      </c>
      <c r="AD137" s="33">
        <v>133.50934120134099</v>
      </c>
      <c r="AE137" s="15">
        <v>4.2097757398165897E-3</v>
      </c>
      <c r="AF137" s="15">
        <v>3.5716970386833798E-3</v>
      </c>
      <c r="AG137" s="15">
        <v>4.4240034516474904E-3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1.812967343275599E-2</v>
      </c>
      <c r="AT137" s="12"/>
      <c r="AU137">
        <f t="shared" si="30"/>
        <v>0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3.9180815929045097E-3</v>
      </c>
      <c r="BA137" s="28">
        <f t="shared" si="33"/>
        <v>-5.32734330657611E-3</v>
      </c>
      <c r="BB137" s="28">
        <f t="shared" si="40"/>
        <v>-1.4092617136716003E-3</v>
      </c>
      <c r="BC137" s="29">
        <f t="shared" si="41"/>
        <v>1.5248631889688922E-2</v>
      </c>
      <c r="BE137" s="29">
        <f t="shared" si="42"/>
        <v>-1.4092617136716003E-3</v>
      </c>
      <c r="BF137" s="29">
        <f t="shared" si="43"/>
        <v>3.3378305322444908E-2</v>
      </c>
      <c r="BH137" s="29"/>
    </row>
    <row r="138" spans="1:60" x14ac:dyDescent="0.25">
      <c r="A138" s="1">
        <v>46224</v>
      </c>
      <c r="B138" s="33">
        <v>56.11</v>
      </c>
      <c r="C138" s="33">
        <v>133.25</v>
      </c>
      <c r="D138" s="15">
        <v>1.2483282940744099E-3</v>
      </c>
      <c r="E138" s="15">
        <v>2.4796195595605001E-3</v>
      </c>
      <c r="F138" s="33">
        <v>0</v>
      </c>
      <c r="G138" s="33">
        <v>0.43857000000000002</v>
      </c>
      <c r="H138" s="33">
        <v>0</v>
      </c>
      <c r="I138" s="33">
        <v>0.95661499999999999</v>
      </c>
      <c r="J138" s="33">
        <v>0</v>
      </c>
      <c r="K138" s="33">
        <v>0</v>
      </c>
      <c r="L138" s="33">
        <v>56.11</v>
      </c>
      <c r="M138" s="33">
        <v>133.25</v>
      </c>
      <c r="N138" s="34">
        <v>2.3747995009802101</v>
      </c>
      <c r="O138" s="34">
        <v>2.3814540004427101</v>
      </c>
      <c r="P138" s="34">
        <v>2.3786609566925199</v>
      </c>
      <c r="Q138" s="34">
        <v>2.3805645805679201</v>
      </c>
      <c r="R138" s="33">
        <v>133.62338396484</v>
      </c>
      <c r="S138" s="33">
        <v>133.51596779651999</v>
      </c>
      <c r="T138" s="33">
        <v>133.62746055235101</v>
      </c>
      <c r="U138" s="15">
        <v>2.7982124176364601E-3</v>
      </c>
      <c r="V138" s="15">
        <v>1.9940166044704099E-3</v>
      </c>
      <c r="W138" s="15">
        <v>2.82871999203538E-3</v>
      </c>
      <c r="X138" s="34">
        <v>2.3747995009802101</v>
      </c>
      <c r="Y138" s="34">
        <v>2.38188334875188</v>
      </c>
      <c r="Z138" s="34">
        <v>2.3786609566925199</v>
      </c>
      <c r="AA138" s="34">
        <v>2.3805645805679201</v>
      </c>
      <c r="AB138" s="33">
        <v>133.64747469846799</v>
      </c>
      <c r="AC138" s="33">
        <v>133.51596779651999</v>
      </c>
      <c r="AD138" s="33">
        <v>133.62746055235101</v>
      </c>
      <c r="AE138" s="15">
        <v>2.97848447433023E-3</v>
      </c>
      <c r="AF138" s="15">
        <v>1.9940166044704099E-3</v>
      </c>
      <c r="AG138" s="15">
        <v>2.8287199920351601E-3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1.812967343275599E-2</v>
      </c>
      <c r="AT138" s="12"/>
      <c r="AU138">
        <f t="shared" si="30"/>
        <v>0</v>
      </c>
      <c r="AV138">
        <f t="shared" si="31"/>
        <v>0</v>
      </c>
      <c r="AW138">
        <f t="shared" si="38"/>
        <v>1</v>
      </c>
      <c r="AX138">
        <f t="shared" si="25"/>
        <v>1</v>
      </c>
      <c r="AY138">
        <f t="shared" si="39"/>
        <v>1</v>
      </c>
      <c r="AZ138" s="28">
        <f t="shared" si="32"/>
        <v>-1.2483282940744099E-3</v>
      </c>
      <c r="BA138" s="28">
        <f t="shared" si="33"/>
        <v>2.4796195595605001E-3</v>
      </c>
      <c r="BB138" s="28">
        <f t="shared" si="40"/>
        <v>1.2312912654860902E-3</v>
      </c>
      <c r="BC138" s="29">
        <f t="shared" si="41"/>
        <v>1.6479923155175012E-2</v>
      </c>
      <c r="BE138" s="29">
        <f t="shared" si="42"/>
        <v>1.2312912654860902E-3</v>
      </c>
      <c r="BF138" s="29">
        <f t="shared" si="43"/>
        <v>3.4609596587930995E-2</v>
      </c>
      <c r="BH138" s="29"/>
    </row>
    <row r="139" spans="1:60" x14ac:dyDescent="0.25">
      <c r="A139" s="1">
        <v>46225</v>
      </c>
      <c r="B139" s="33">
        <v>56.05</v>
      </c>
      <c r="C139" s="33">
        <v>133.28</v>
      </c>
      <c r="D139" s="15">
        <v>-1.0699002447117499E-3</v>
      </c>
      <c r="E139" s="15">
        <v>2.25115372578707E-4</v>
      </c>
      <c r="F139" s="33">
        <v>0</v>
      </c>
      <c r="G139" s="33">
        <v>0.43857000000000002</v>
      </c>
      <c r="H139" s="33">
        <v>0</v>
      </c>
      <c r="I139" s="33">
        <v>0.95661499999999999</v>
      </c>
      <c r="J139" s="33">
        <v>0</v>
      </c>
      <c r="K139" s="33">
        <v>0</v>
      </c>
      <c r="L139" s="33">
        <v>56.05</v>
      </c>
      <c r="M139" s="33">
        <v>133.28</v>
      </c>
      <c r="N139" s="34">
        <v>2.3778768956289</v>
      </c>
      <c r="O139" s="34">
        <v>2.3814540004427101</v>
      </c>
      <c r="P139" s="34">
        <v>2.3777184297736902</v>
      </c>
      <c r="Q139" s="34">
        <v>2.37966443871239</v>
      </c>
      <c r="R139" s="33">
        <v>133.480496724814</v>
      </c>
      <c r="S139" s="33">
        <v>133.32394662261601</v>
      </c>
      <c r="T139" s="33">
        <v>133.43064474083201</v>
      </c>
      <c r="U139" s="15">
        <v>1.5031968003460701E-3</v>
      </c>
      <c r="V139" s="15">
        <v>3.2967721274029398E-4</v>
      </c>
      <c r="W139" s="15">
        <v>1.12964937712542E-3</v>
      </c>
      <c r="X139" s="34">
        <v>2.3778768956289</v>
      </c>
      <c r="Y139" s="34">
        <v>2.38188334875188</v>
      </c>
      <c r="Z139" s="34">
        <v>2.3777184297736902</v>
      </c>
      <c r="AA139" s="34">
        <v>2.37966443871239</v>
      </c>
      <c r="AB139" s="33">
        <v>133.50456169754301</v>
      </c>
      <c r="AC139" s="33">
        <v>133.32394662261601</v>
      </c>
      <c r="AD139" s="33">
        <v>133.43064474083201</v>
      </c>
      <c r="AE139" s="15">
        <v>1.68346885703998E-3</v>
      </c>
      <c r="AF139" s="15">
        <v>3.2967721274029398E-4</v>
      </c>
      <c r="AG139" s="15">
        <v>1.12964937712542E-3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1.812967343275599E-2</v>
      </c>
      <c r="AT139" s="12"/>
      <c r="AU139">
        <f t="shared" si="30"/>
        <v>0</v>
      </c>
      <c r="AV139">
        <f t="shared" si="31"/>
        <v>1</v>
      </c>
      <c r="AW139">
        <f t="shared" si="38"/>
        <v>1</v>
      </c>
      <c r="AX139">
        <f t="shared" si="25"/>
        <v>1</v>
      </c>
      <c r="AY139">
        <f t="shared" si="39"/>
        <v>1</v>
      </c>
      <c r="AZ139" s="28">
        <f t="shared" si="32"/>
        <v>1.0699002447117499E-3</v>
      </c>
      <c r="BA139" s="28">
        <f t="shared" si="33"/>
        <v>2.25115372578707E-4</v>
      </c>
      <c r="BB139" s="28">
        <f t="shared" si="40"/>
        <v>1.2950156172904569E-3</v>
      </c>
      <c r="BC139" s="29">
        <f t="shared" si="41"/>
        <v>1.7774938772465471E-2</v>
      </c>
      <c r="BE139" s="29">
        <f t="shared" si="42"/>
        <v>1.2950156172904569E-3</v>
      </c>
      <c r="BF139" s="29">
        <f t="shared" si="43"/>
        <v>3.5904612205221453E-2</v>
      </c>
      <c r="BH139" s="29"/>
    </row>
    <row r="140" spans="1:60" x14ac:dyDescent="0.25">
      <c r="A140" s="1">
        <v>46226</v>
      </c>
      <c r="B140" s="33">
        <v>55.83</v>
      </c>
      <c r="C140" s="33">
        <v>132.84</v>
      </c>
      <c r="D140" s="15">
        <v>-3.9327901958998504E-3</v>
      </c>
      <c r="E140" s="15">
        <v>-3.3067819099867599E-3</v>
      </c>
      <c r="F140" s="33">
        <v>0</v>
      </c>
      <c r="G140" s="33">
        <v>0.43857000000000002</v>
      </c>
      <c r="H140" s="33">
        <v>0</v>
      </c>
      <c r="I140" s="33">
        <v>0.95661499999999999</v>
      </c>
      <c r="J140" s="33">
        <v>0</v>
      </c>
      <c r="K140" s="33">
        <v>0</v>
      </c>
      <c r="L140" s="33">
        <v>55.83</v>
      </c>
      <c r="M140" s="33">
        <v>132.84</v>
      </c>
      <c r="N140" s="34">
        <v>2.3793659322944598</v>
      </c>
      <c r="O140" s="34">
        <v>2.3814540004427101</v>
      </c>
      <c r="P140" s="34">
        <v>2.3770882242995</v>
      </c>
      <c r="Q140" s="34">
        <v>2.3793196303382902</v>
      </c>
      <c r="R140" s="33">
        <v>132.95657684471601</v>
      </c>
      <c r="S140" s="33">
        <v>132.74801993426499</v>
      </c>
      <c r="T140" s="33">
        <v>132.856665613313</v>
      </c>
      <c r="U140" s="15">
        <v>8.7718851443314505E-4</v>
      </c>
      <c r="V140" s="15">
        <v>-6.9265224715048701E-4</v>
      </c>
      <c r="W140" s="15">
        <v>1.2544841913324299E-4</v>
      </c>
      <c r="X140" s="34">
        <v>2.3793659322944598</v>
      </c>
      <c r="Y140" s="34">
        <v>2.38188334875188</v>
      </c>
      <c r="Z140" s="34">
        <v>2.3770882242995</v>
      </c>
      <c r="AA140" s="34">
        <v>2.3793196303382902</v>
      </c>
      <c r="AB140" s="33">
        <v>132.98054736081701</v>
      </c>
      <c r="AC140" s="33">
        <v>132.74801993426499</v>
      </c>
      <c r="AD140" s="33">
        <v>132.856665613313</v>
      </c>
      <c r="AE140" s="15">
        <v>1.0574605711268299E-3</v>
      </c>
      <c r="AF140" s="15">
        <v>-6.9265224715071004E-4</v>
      </c>
      <c r="AG140" s="15">
        <v>1.2544841913324299E-4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1.812967343275599E-2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1.7774938772465471E-2</v>
      </c>
      <c r="BE140" s="29">
        <f t="shared" si="42"/>
        <v>0</v>
      </c>
      <c r="BF140" s="29">
        <f t="shared" si="43"/>
        <v>3.5904612205221453E-2</v>
      </c>
      <c r="BH140" s="29"/>
    </row>
    <row r="141" spans="1:60" x14ac:dyDescent="0.25">
      <c r="A141" s="1">
        <v>46227</v>
      </c>
      <c r="B141" s="33">
        <v>56.31</v>
      </c>
      <c r="C141" s="33">
        <v>134.06</v>
      </c>
      <c r="D141" s="15">
        <v>8.5607799442580304E-3</v>
      </c>
      <c r="E141" s="15">
        <v>9.1420644212658192E-3</v>
      </c>
      <c r="F141" s="33">
        <v>0</v>
      </c>
      <c r="G141" s="33">
        <v>0.43857000000000002</v>
      </c>
      <c r="H141" s="33">
        <v>0</v>
      </c>
      <c r="I141" s="33">
        <v>0.95661499999999999</v>
      </c>
      <c r="J141" s="33">
        <v>0</v>
      </c>
      <c r="K141" s="33">
        <v>0</v>
      </c>
      <c r="L141" s="33">
        <v>56.31</v>
      </c>
      <c r="M141" s="33">
        <v>134.06</v>
      </c>
      <c r="N141" s="34">
        <v>2.3807494228378601</v>
      </c>
      <c r="O141" s="34">
        <v>2.3814540004427101</v>
      </c>
      <c r="P141" s="34">
        <v>2.3765166040271901</v>
      </c>
      <c r="Q141" s="34">
        <v>2.3789745009189098</v>
      </c>
      <c r="R141" s="33">
        <v>134.09967476492901</v>
      </c>
      <c r="S141" s="33">
        <v>133.853837910305</v>
      </c>
      <c r="T141" s="33">
        <v>133.979488384349</v>
      </c>
      <c r="U141" s="15">
        <v>2.95904037425378E-4</v>
      </c>
      <c r="V141" s="15">
        <v>-1.53901815595152E-3</v>
      </c>
      <c r="W141" s="15">
        <v>-6.0074445416571595E-4</v>
      </c>
      <c r="X141" s="34">
        <v>2.3807494228378601</v>
      </c>
      <c r="Y141" s="34">
        <v>2.38188334875188</v>
      </c>
      <c r="Z141" s="34">
        <v>2.3765166040271901</v>
      </c>
      <c r="AA141" s="34">
        <v>2.3789745009189098</v>
      </c>
      <c r="AB141" s="33">
        <v>134.123851368218</v>
      </c>
      <c r="AC141" s="33">
        <v>133.853837910305</v>
      </c>
      <c r="AD141" s="33">
        <v>133.979488384349</v>
      </c>
      <c r="AE141" s="15">
        <v>4.76176094119074E-4</v>
      </c>
      <c r="AF141" s="15">
        <v>-1.53901815595152E-3</v>
      </c>
      <c r="AG141" s="15">
        <v>-6.0074445416571595E-4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1.812967343275599E-2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1.7774938772465471E-2</v>
      </c>
      <c r="BE141" s="29">
        <f t="shared" si="42"/>
        <v>0</v>
      </c>
      <c r="BF141" s="29">
        <f t="shared" si="43"/>
        <v>3.5904612205221453E-2</v>
      </c>
      <c r="BH141" s="29"/>
    </row>
    <row r="142" spans="1:60" x14ac:dyDescent="0.25">
      <c r="A142" s="1">
        <v>46230</v>
      </c>
      <c r="B142" s="33">
        <v>56.88</v>
      </c>
      <c r="C142" s="33">
        <v>135.16999999999999</v>
      </c>
      <c r="D142" s="15">
        <v>1.00716462284581E-2</v>
      </c>
      <c r="E142" s="15">
        <v>8.2457845659247297E-3</v>
      </c>
      <c r="F142" s="33">
        <v>0</v>
      </c>
      <c r="G142" s="33">
        <v>0.43857000000000002</v>
      </c>
      <c r="H142" s="33">
        <v>0</v>
      </c>
      <c r="I142" s="33">
        <v>0.95661499999999999</v>
      </c>
      <c r="J142" s="33">
        <v>0</v>
      </c>
      <c r="K142" s="33">
        <v>0</v>
      </c>
      <c r="L142" s="33">
        <v>56.88</v>
      </c>
      <c r="M142" s="33">
        <v>135.16999999999999</v>
      </c>
      <c r="N142" s="34">
        <v>2.37640646976089</v>
      </c>
      <c r="O142" s="34">
        <v>2.3814540004427101</v>
      </c>
      <c r="P142" s="34">
        <v>2.3764187098939602</v>
      </c>
      <c r="Q142" s="34">
        <v>2.3784649756109801</v>
      </c>
      <c r="R142" s="33">
        <v>135.45710354518101</v>
      </c>
      <c r="S142" s="33">
        <v>135.176264437067</v>
      </c>
      <c r="T142" s="33">
        <v>135.316069612267</v>
      </c>
      <c r="U142" s="15">
        <v>2.1217656999590901E-3</v>
      </c>
      <c r="V142" s="15">
        <v>4.63438034278241E-5</v>
      </c>
      <c r="W142" s="15">
        <v>1.0800528594797499E-3</v>
      </c>
      <c r="X142" s="34">
        <v>2.37640646976089</v>
      </c>
      <c r="Y142" s="34">
        <v>2.38188334875188</v>
      </c>
      <c r="Z142" s="34">
        <v>2.3764187098939602</v>
      </c>
      <c r="AA142" s="34">
        <v>2.3784649756109801</v>
      </c>
      <c r="AB142" s="33">
        <v>135.48152487700699</v>
      </c>
      <c r="AC142" s="33">
        <v>135.176264437067</v>
      </c>
      <c r="AD142" s="33">
        <v>135.316069612267</v>
      </c>
      <c r="AE142" s="15">
        <v>2.3020377566528999E-3</v>
      </c>
      <c r="AF142" s="15">
        <v>4.63438034278241E-5</v>
      </c>
      <c r="AG142" s="15">
        <v>1.0800528594797499E-3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1.812967343275599E-2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1.7774938772465471E-2</v>
      </c>
      <c r="BE142" s="29">
        <f t="shared" si="42"/>
        <v>0</v>
      </c>
      <c r="BF142" s="29">
        <f t="shared" si="43"/>
        <v>3.5904612205221453E-2</v>
      </c>
      <c r="BH142" s="29"/>
    </row>
    <row r="143" spans="1:60" x14ac:dyDescent="0.25">
      <c r="A143" s="1">
        <v>46231</v>
      </c>
      <c r="B143" s="33">
        <v>57.6</v>
      </c>
      <c r="C143" s="33">
        <v>136.71</v>
      </c>
      <c r="D143" s="15">
        <v>1.25787822068601E-2</v>
      </c>
      <c r="E143" s="15">
        <v>1.1328648448164599E-2</v>
      </c>
      <c r="F143" s="33">
        <v>0</v>
      </c>
      <c r="G143" s="33">
        <v>0.43857000000000002</v>
      </c>
      <c r="H143" s="33">
        <v>0</v>
      </c>
      <c r="I143" s="33">
        <v>0.95661499999999999</v>
      </c>
      <c r="J143" s="33">
        <v>0</v>
      </c>
      <c r="K143" s="33">
        <v>0</v>
      </c>
      <c r="L143" s="33">
        <v>57.6</v>
      </c>
      <c r="M143" s="33">
        <v>136.71</v>
      </c>
      <c r="N143" s="34">
        <v>2.3734375000000001</v>
      </c>
      <c r="O143" s="34">
        <v>2.3814540004427101</v>
      </c>
      <c r="P143" s="34">
        <v>2.3758842114069498</v>
      </c>
      <c r="Q143" s="34">
        <v>2.3782611990845499</v>
      </c>
      <c r="R143" s="33">
        <v>137.17175042549999</v>
      </c>
      <c r="S143" s="33">
        <v>136.88171768989201</v>
      </c>
      <c r="T143" s="33">
        <v>136.999582595193</v>
      </c>
      <c r="U143" s="15">
        <v>3.3718994586544901E-3</v>
      </c>
      <c r="V143" s="15">
        <v>1.25528443544008E-3</v>
      </c>
      <c r="W143" s="15">
        <v>2.1159851291665701E-3</v>
      </c>
      <c r="X143" s="34">
        <v>2.3734375000000001</v>
      </c>
      <c r="Y143" s="34">
        <v>2.38188334875188</v>
      </c>
      <c r="Z143" s="34">
        <v>2.3758842114069498</v>
      </c>
      <c r="AA143" s="34">
        <v>2.3782611990845499</v>
      </c>
      <c r="AB143" s="33">
        <v>137.196480888108</v>
      </c>
      <c r="AC143" s="33">
        <v>136.88171768989201</v>
      </c>
      <c r="AD143" s="33">
        <v>136.999582595193</v>
      </c>
      <c r="AE143" s="15">
        <v>3.5521715153483901E-3</v>
      </c>
      <c r="AF143" s="15">
        <v>1.25528443544008E-3</v>
      </c>
      <c r="AG143" s="15">
        <v>2.1159851291665701E-3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1.812967343275599E-2</v>
      </c>
      <c r="AT143" s="12"/>
      <c r="AU143">
        <f t="shared" si="30"/>
        <v>0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1.7774938772465471E-2</v>
      </c>
      <c r="BE143" s="29">
        <f t="shared" si="42"/>
        <v>0</v>
      </c>
      <c r="BF143" s="29">
        <f t="shared" si="43"/>
        <v>3.5904612205221453E-2</v>
      </c>
      <c r="BH143" s="29"/>
    </row>
    <row r="144" spans="1:60" x14ac:dyDescent="0.25">
      <c r="A144" s="1">
        <v>46232</v>
      </c>
      <c r="B144" s="33">
        <v>56.68</v>
      </c>
      <c r="C144" s="33">
        <v>134.18</v>
      </c>
      <c r="D144" s="15">
        <v>-1.61011528793659E-2</v>
      </c>
      <c r="E144" s="15">
        <v>-1.8679711809158901E-2</v>
      </c>
      <c r="F144" s="33">
        <v>0</v>
      </c>
      <c r="G144" s="33">
        <v>0.43857000000000002</v>
      </c>
      <c r="H144" s="33">
        <v>0</v>
      </c>
      <c r="I144" s="33">
        <v>0.95661499999999999</v>
      </c>
      <c r="J144" s="33">
        <v>0</v>
      </c>
      <c r="K144" s="33">
        <v>0</v>
      </c>
      <c r="L144" s="33">
        <v>56.68</v>
      </c>
      <c r="M144" s="33">
        <v>134.18</v>
      </c>
      <c r="N144" s="34">
        <v>2.3673253352152401</v>
      </c>
      <c r="O144" s="34">
        <v>2.3814540004427101</v>
      </c>
      <c r="P144" s="34">
        <v>2.3748161791576101</v>
      </c>
      <c r="Q144" s="34">
        <v>2.37770375758193</v>
      </c>
      <c r="R144" s="33">
        <v>134.980812745093</v>
      </c>
      <c r="S144" s="33">
        <v>134.66511710254599</v>
      </c>
      <c r="T144" s="33">
        <v>134.79984476411201</v>
      </c>
      <c r="U144" s="15">
        <v>5.9504583884474899E-3</v>
      </c>
      <c r="V144" s="15">
        <v>3.6089004278358002E-3</v>
      </c>
      <c r="W144" s="15">
        <v>4.6088647412631202E-3</v>
      </c>
      <c r="X144" s="34">
        <v>2.3673253352152401</v>
      </c>
      <c r="Y144" s="34">
        <v>2.38188334875188</v>
      </c>
      <c r="Z144" s="34">
        <v>2.3748161791576101</v>
      </c>
      <c r="AA144" s="34">
        <v>2.37770375758193</v>
      </c>
      <c r="AB144" s="33">
        <v>135.00514820725601</v>
      </c>
      <c r="AC144" s="33">
        <v>134.66511710254599</v>
      </c>
      <c r="AD144" s="33">
        <v>134.79984476411201</v>
      </c>
      <c r="AE144" s="15">
        <v>6.1307304451414602E-3</v>
      </c>
      <c r="AF144" s="15">
        <v>3.6089004278355799E-3</v>
      </c>
      <c r="AG144" s="15">
        <v>4.6088647412631202E-3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1.812967343275599E-2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1.7774938772465471E-2</v>
      </c>
      <c r="BE144" s="29">
        <f t="shared" si="42"/>
        <v>0</v>
      </c>
      <c r="BF144" s="29">
        <f t="shared" si="43"/>
        <v>3.5904612205221453E-2</v>
      </c>
      <c r="BH144" s="29"/>
    </row>
    <row r="145" spans="1:60" x14ac:dyDescent="0.25">
      <c r="A145" s="1">
        <v>46233</v>
      </c>
      <c r="B145" s="33">
        <v>57</v>
      </c>
      <c r="C145" s="33">
        <v>134.77000000000001</v>
      </c>
      <c r="D145" s="15">
        <v>5.6298530120704599E-3</v>
      </c>
      <c r="E145" s="15">
        <v>4.3874396463259701E-3</v>
      </c>
      <c r="F145" s="33">
        <v>0</v>
      </c>
      <c r="G145" s="33">
        <v>0.43857000000000002</v>
      </c>
      <c r="H145" s="33">
        <v>0</v>
      </c>
      <c r="I145" s="33">
        <v>0.95661499999999999</v>
      </c>
      <c r="J145" s="33">
        <v>0</v>
      </c>
      <c r="K145" s="33">
        <v>0</v>
      </c>
      <c r="L145" s="33">
        <v>57</v>
      </c>
      <c r="M145" s="33">
        <v>134.77000000000001</v>
      </c>
      <c r="N145" s="34">
        <v>2.3643859649122798</v>
      </c>
      <c r="O145" s="34">
        <v>2.3814540004427101</v>
      </c>
      <c r="P145" s="34">
        <v>2.3741446434902498</v>
      </c>
      <c r="Q145" s="34">
        <v>2.3770566812382801</v>
      </c>
      <c r="R145" s="33">
        <v>135.74287802523401</v>
      </c>
      <c r="S145" s="33">
        <v>135.364522211984</v>
      </c>
      <c r="T145" s="33">
        <v>135.52911418216999</v>
      </c>
      <c r="U145" s="15">
        <v>7.1928717541919901E-3</v>
      </c>
      <c r="V145" s="15">
        <v>4.40168229526348E-3</v>
      </c>
      <c r="W145" s="15">
        <v>5.6168602716143903E-3</v>
      </c>
      <c r="X145" s="34">
        <v>2.3643859649122798</v>
      </c>
      <c r="Y145" s="34">
        <v>2.38188334875188</v>
      </c>
      <c r="Z145" s="34">
        <v>2.3741446434902498</v>
      </c>
      <c r="AA145" s="34">
        <v>2.3770566812382801</v>
      </c>
      <c r="AB145" s="33">
        <v>135.767350878857</v>
      </c>
      <c r="AC145" s="33">
        <v>135.364522211984</v>
      </c>
      <c r="AD145" s="33">
        <v>135.52911418216999</v>
      </c>
      <c r="AE145" s="15">
        <v>7.3731438108858103E-3</v>
      </c>
      <c r="AF145" s="15">
        <v>4.40168229526348E-3</v>
      </c>
      <c r="AG145" s="15">
        <v>5.6168602716143903E-3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1.812967343275599E-2</v>
      </c>
      <c r="AT145" s="12"/>
      <c r="AU145">
        <f t="shared" si="30"/>
        <v>1</v>
      </c>
      <c r="AV145">
        <f t="shared" si="31"/>
        <v>0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1.7774938772465471E-2</v>
      </c>
      <c r="BE145" s="29">
        <f t="shared" si="42"/>
        <v>0</v>
      </c>
      <c r="BF145" s="29">
        <f t="shared" si="43"/>
        <v>3.5904612205221453E-2</v>
      </c>
      <c r="BH145" s="29"/>
    </row>
    <row r="146" spans="1:60" x14ac:dyDescent="0.25">
      <c r="A146" s="1">
        <v>46234</v>
      </c>
      <c r="B146" s="33">
        <v>56.94</v>
      </c>
      <c r="C146" s="33">
        <v>134.65</v>
      </c>
      <c r="D146" s="15">
        <v>-1.0531859846586999E-3</v>
      </c>
      <c r="E146" s="15">
        <v>-8.9080252345994195E-4</v>
      </c>
      <c r="F146" s="33">
        <v>0</v>
      </c>
      <c r="G146" s="33">
        <v>0.43857000000000002</v>
      </c>
      <c r="H146" s="33">
        <v>0</v>
      </c>
      <c r="I146" s="33">
        <v>0.95661499999999999</v>
      </c>
      <c r="J146" s="33">
        <v>0</v>
      </c>
      <c r="K146" s="33">
        <v>0</v>
      </c>
      <c r="L146" s="33">
        <v>56.94</v>
      </c>
      <c r="M146" s="33">
        <v>134.65</v>
      </c>
      <c r="N146" s="34">
        <v>2.36476993326308</v>
      </c>
      <c r="O146" s="34">
        <v>2.3814540004427101</v>
      </c>
      <c r="P146" s="34">
        <v>2.3730994185442502</v>
      </c>
      <c r="Q146" s="34">
        <v>2.3767317115224298</v>
      </c>
      <c r="R146" s="33">
        <v>135.59999078520801</v>
      </c>
      <c r="S146" s="33">
        <v>135.18379600033501</v>
      </c>
      <c r="T146" s="33">
        <v>135.34960742970699</v>
      </c>
      <c r="U146" s="15">
        <v>7.0304882929932101E-3</v>
      </c>
      <c r="V146" s="15">
        <v>3.9564850998955198E-3</v>
      </c>
      <c r="W146" s="15">
        <v>5.1822963899832196E-3</v>
      </c>
      <c r="X146" s="34">
        <v>2.36476993326308</v>
      </c>
      <c r="Y146" s="34">
        <v>2.38188334875188</v>
      </c>
      <c r="Z146" s="34">
        <v>2.3730994185442502</v>
      </c>
      <c r="AA146" s="34">
        <v>2.3767317115224298</v>
      </c>
      <c r="AB146" s="33">
        <v>135.624437877932</v>
      </c>
      <c r="AC146" s="33">
        <v>135.18379600033501</v>
      </c>
      <c r="AD146" s="33">
        <v>135.34960742970699</v>
      </c>
      <c r="AE146" s="15">
        <v>7.2107603496870797E-3</v>
      </c>
      <c r="AF146" s="15">
        <v>3.9564850998955198E-3</v>
      </c>
      <c r="AG146" s="15">
        <v>5.1822963899832196E-3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1.812967343275599E-2</v>
      </c>
      <c r="AT146" s="12"/>
      <c r="AU146">
        <f t="shared" si="30"/>
        <v>1</v>
      </c>
      <c r="AV146">
        <f t="shared" si="31"/>
        <v>0</v>
      </c>
      <c r="AW146">
        <f t="shared" si="38"/>
        <v>1</v>
      </c>
      <c r="AX146">
        <f t="shared" si="25"/>
        <v>1</v>
      </c>
      <c r="AY146">
        <f t="shared" si="39"/>
        <v>1</v>
      </c>
      <c r="AZ146" s="28">
        <f t="shared" si="32"/>
        <v>1.0531859846586999E-3</v>
      </c>
      <c r="BA146" s="28">
        <f t="shared" si="33"/>
        <v>-8.9080252345994195E-4</v>
      </c>
      <c r="BB146" s="28">
        <f t="shared" si="40"/>
        <v>1.62383461198758E-4</v>
      </c>
      <c r="BC146" s="29">
        <f t="shared" si="41"/>
        <v>1.7937322233664229E-2</v>
      </c>
      <c r="BE146" s="29">
        <f t="shared" si="42"/>
        <v>1.62383461198758E-4</v>
      </c>
      <c r="BF146" s="29">
        <f t="shared" si="43"/>
        <v>3.6066995666420208E-2</v>
      </c>
      <c r="BH146" s="29"/>
    </row>
    <row r="147" spans="1:60" x14ac:dyDescent="0.25">
      <c r="A147" s="1">
        <v>46237</v>
      </c>
      <c r="B147" s="33">
        <v>57.38</v>
      </c>
      <c r="C147" s="33">
        <v>135.91999999999999</v>
      </c>
      <c r="D147" s="15">
        <v>7.6977287033273504E-3</v>
      </c>
      <c r="E147" s="15">
        <v>9.3876581060684597E-3</v>
      </c>
      <c r="F147" s="33">
        <v>0</v>
      </c>
      <c r="G147" s="33">
        <v>0.43857000000000002</v>
      </c>
      <c r="H147" s="33">
        <v>0</v>
      </c>
      <c r="I147" s="33">
        <v>0.95661499999999999</v>
      </c>
      <c r="J147" s="33">
        <v>0</v>
      </c>
      <c r="K147" s="33">
        <v>0</v>
      </c>
      <c r="L147" s="33">
        <v>57.38</v>
      </c>
      <c r="M147" s="33">
        <v>135.91999999999999</v>
      </c>
      <c r="N147" s="34">
        <v>2.3687696061345398</v>
      </c>
      <c r="O147" s="34">
        <v>2.3814540004427101</v>
      </c>
      <c r="P147" s="34">
        <v>2.3727886561027498</v>
      </c>
      <c r="Q147" s="34">
        <v>2.3761641355413099</v>
      </c>
      <c r="R147" s="33">
        <v>136.647830545403</v>
      </c>
      <c r="S147" s="33">
        <v>136.16844463606901</v>
      </c>
      <c r="T147" s="33">
        <v>136.37686560715699</v>
      </c>
      <c r="U147" s="15">
        <v>5.3405588902521199E-3</v>
      </c>
      <c r="V147" s="15">
        <v>1.8262054858608401E-3</v>
      </c>
      <c r="W147" s="15">
        <v>3.3556466751442299E-3</v>
      </c>
      <c r="X147" s="34">
        <v>2.3687696061345398</v>
      </c>
      <c r="Y147" s="34">
        <v>2.38188334875188</v>
      </c>
      <c r="Z147" s="34">
        <v>2.3727886561027498</v>
      </c>
      <c r="AA147" s="34">
        <v>2.3761641355413099</v>
      </c>
      <c r="AB147" s="33">
        <v>136.672466551383</v>
      </c>
      <c r="AC147" s="33">
        <v>136.16844463606901</v>
      </c>
      <c r="AD147" s="33">
        <v>136.37686560715699</v>
      </c>
      <c r="AE147" s="15">
        <v>5.5208309469460797E-3</v>
      </c>
      <c r="AF147" s="15">
        <v>1.8262054858608401E-3</v>
      </c>
      <c r="AG147" s="15">
        <v>3.3556466751442299E-3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1.812967343275599E-2</v>
      </c>
      <c r="AT147" s="12"/>
      <c r="AU147">
        <f t="shared" si="30"/>
        <v>0</v>
      </c>
      <c r="AV147">
        <f t="shared" si="31"/>
        <v>0</v>
      </c>
      <c r="AW147">
        <f t="shared" si="38"/>
        <v>1</v>
      </c>
      <c r="AX147">
        <f t="shared" si="25"/>
        <v>1</v>
      </c>
      <c r="AY147">
        <f t="shared" si="39"/>
        <v>1</v>
      </c>
      <c r="AZ147" s="28">
        <f t="shared" si="32"/>
        <v>-7.6977287033273504E-3</v>
      </c>
      <c r="BA147" s="28">
        <f t="shared" si="33"/>
        <v>9.3876581060684597E-3</v>
      </c>
      <c r="BB147" s="28">
        <f t="shared" si="40"/>
        <v>1.6899294027411093E-3</v>
      </c>
      <c r="BC147" s="29">
        <f t="shared" si="41"/>
        <v>1.9627251636405336E-2</v>
      </c>
      <c r="BE147" s="29">
        <f t="shared" si="42"/>
        <v>1.6899294027411093E-3</v>
      </c>
      <c r="BF147" s="29">
        <f t="shared" si="43"/>
        <v>3.7756925069161319E-2</v>
      </c>
      <c r="BH147" s="29"/>
    </row>
    <row r="148" spans="1:60" x14ac:dyDescent="0.25">
      <c r="A148" s="1">
        <v>46238</v>
      </c>
      <c r="B148" s="33">
        <v>57.88</v>
      </c>
      <c r="C148" s="33">
        <v>137.08000000000001</v>
      </c>
      <c r="D148" s="15">
        <v>8.6760912100643899E-3</v>
      </c>
      <c r="E148" s="15">
        <v>8.4982196427316296E-3</v>
      </c>
      <c r="F148" s="33">
        <v>0</v>
      </c>
      <c r="G148" s="33">
        <v>0.43857000000000002</v>
      </c>
      <c r="H148" s="33">
        <v>0</v>
      </c>
      <c r="I148" s="33">
        <v>0.95661499999999999</v>
      </c>
      <c r="J148" s="33">
        <v>0</v>
      </c>
      <c r="K148" s="33">
        <v>0</v>
      </c>
      <c r="L148" s="33">
        <v>57.88</v>
      </c>
      <c r="M148" s="33">
        <v>137.08000000000001</v>
      </c>
      <c r="N148" s="34">
        <v>2.3683483068417401</v>
      </c>
      <c r="O148" s="34">
        <v>2.3814540004427101</v>
      </c>
      <c r="P148" s="34">
        <v>2.3721435366888999</v>
      </c>
      <c r="Q148" s="34">
        <v>2.3754022466907099</v>
      </c>
      <c r="R148" s="33">
        <v>137.83855754562401</v>
      </c>
      <c r="S148" s="33">
        <v>137.33700741522699</v>
      </c>
      <c r="T148" s="33">
        <v>137.532380165131</v>
      </c>
      <c r="U148" s="15">
        <v>5.5184304575847101E-3</v>
      </c>
      <c r="V148" s="15">
        <v>1.87311634065161E-3</v>
      </c>
      <c r="W148" s="15">
        <v>3.2946844863477199E-3</v>
      </c>
      <c r="X148" s="34">
        <v>2.3683483068417401</v>
      </c>
      <c r="Y148" s="34">
        <v>2.38188334875188</v>
      </c>
      <c r="Z148" s="34">
        <v>2.3721435366888999</v>
      </c>
      <c r="AA148" s="34">
        <v>2.3754022466907099</v>
      </c>
      <c r="AB148" s="33">
        <v>137.863408225759</v>
      </c>
      <c r="AC148" s="33">
        <v>137.33700741522699</v>
      </c>
      <c r="AD148" s="33">
        <v>137.532380165131</v>
      </c>
      <c r="AE148" s="15">
        <v>5.6987025142786196E-3</v>
      </c>
      <c r="AF148" s="15">
        <v>1.87311634065161E-3</v>
      </c>
      <c r="AG148" s="15">
        <v>3.2946844863475E-3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1.812967343275599E-2</v>
      </c>
      <c r="AT148" s="12"/>
      <c r="AU148">
        <f t="shared" si="30"/>
        <v>0</v>
      </c>
      <c r="AV148">
        <f t="shared" si="31"/>
        <v>0</v>
      </c>
      <c r="AW148">
        <f t="shared" si="38"/>
        <v>1</v>
      </c>
      <c r="AX148">
        <f t="shared" si="25"/>
        <v>1</v>
      </c>
      <c r="AY148">
        <f t="shared" si="39"/>
        <v>1</v>
      </c>
      <c r="AZ148" s="28">
        <f t="shared" si="32"/>
        <v>-8.6760912100643899E-3</v>
      </c>
      <c r="BA148" s="28">
        <f t="shared" si="33"/>
        <v>8.4982196427316296E-3</v>
      </c>
      <c r="BB148" s="28">
        <f t="shared" si="40"/>
        <v>-1.7787156733276022E-4</v>
      </c>
      <c r="BC148" s="29">
        <f t="shared" si="41"/>
        <v>1.9449380069072576E-2</v>
      </c>
      <c r="BE148" s="29">
        <f t="shared" si="42"/>
        <v>-1.7787156733276022E-4</v>
      </c>
      <c r="BF148" s="29">
        <f t="shared" si="43"/>
        <v>3.7579053501828559E-2</v>
      </c>
      <c r="BH148" s="29"/>
    </row>
    <row r="149" spans="1:60" x14ac:dyDescent="0.25">
      <c r="A149" s="1">
        <v>46239</v>
      </c>
      <c r="B149" s="33">
        <v>58</v>
      </c>
      <c r="C149" s="33">
        <v>137.44999999999999</v>
      </c>
      <c r="D149" s="15">
        <v>2.0711087831360902E-3</v>
      </c>
      <c r="E149" s="15">
        <v>2.6955176048463602E-3</v>
      </c>
      <c r="F149" s="33">
        <v>0</v>
      </c>
      <c r="G149" s="33">
        <v>0.43857000000000002</v>
      </c>
      <c r="H149" s="33">
        <v>0</v>
      </c>
      <c r="I149" s="33">
        <v>0.95661499999999999</v>
      </c>
      <c r="J149" s="33">
        <v>0</v>
      </c>
      <c r="K149" s="33">
        <v>0</v>
      </c>
      <c r="L149" s="33">
        <v>58</v>
      </c>
      <c r="M149" s="33">
        <v>137.44999999999999</v>
      </c>
      <c r="N149" s="34">
        <v>2.36982758620689</v>
      </c>
      <c r="O149" s="34">
        <v>2.3814540004427101</v>
      </c>
      <c r="P149" s="34">
        <v>2.3713386057467001</v>
      </c>
      <c r="Q149" s="34">
        <v>2.3745285177601998</v>
      </c>
      <c r="R149" s="33">
        <v>138.12433202567701</v>
      </c>
      <c r="S149" s="33">
        <v>137.58432512795599</v>
      </c>
      <c r="T149" s="33">
        <v>137.77333030806099</v>
      </c>
      <c r="U149" s="15">
        <v>4.8940216358743498E-3</v>
      </c>
      <c r="V149" s="15">
        <v>9.7678817779547292E-4</v>
      </c>
      <c r="W149" s="15">
        <v>2.3495861084622798E-3</v>
      </c>
      <c r="X149" s="34">
        <v>2.36982758620689</v>
      </c>
      <c r="Y149" s="34">
        <v>2.38188334875188</v>
      </c>
      <c r="Z149" s="34">
        <v>2.3713386057467001</v>
      </c>
      <c r="AA149" s="34">
        <v>2.3745285177601998</v>
      </c>
      <c r="AB149" s="33">
        <v>138.14923422760901</v>
      </c>
      <c r="AC149" s="33">
        <v>137.58432512795599</v>
      </c>
      <c r="AD149" s="33">
        <v>137.77333030806099</v>
      </c>
      <c r="AE149" s="15">
        <v>5.0742936925683496E-3</v>
      </c>
      <c r="AF149" s="15">
        <v>9.7678817779547292E-4</v>
      </c>
      <c r="AG149" s="15">
        <v>2.3495861084622798E-3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1.812967343275599E-2</v>
      </c>
      <c r="AT149" s="12"/>
      <c r="AU149">
        <f t="shared" si="30"/>
        <v>0</v>
      </c>
      <c r="AV149">
        <f t="shared" si="31"/>
        <v>0</v>
      </c>
      <c r="AW149">
        <f t="shared" si="38"/>
        <v>1</v>
      </c>
      <c r="AX149">
        <f t="shared" ref="AX149:AX176" si="45">IF(F150+H150&gt;0,0,1)</f>
        <v>1</v>
      </c>
      <c r="AY149">
        <f t="shared" si="39"/>
        <v>1</v>
      </c>
      <c r="AZ149" s="28">
        <f t="shared" si="32"/>
        <v>-2.0711087831360902E-3</v>
      </c>
      <c r="BA149" s="28">
        <f t="shared" si="33"/>
        <v>2.6955176048463602E-3</v>
      </c>
      <c r="BB149" s="28">
        <f t="shared" si="40"/>
        <v>6.2440882171027005E-4</v>
      </c>
      <c r="BC149" s="29">
        <f t="shared" si="41"/>
        <v>2.0073788890782845E-2</v>
      </c>
      <c r="BE149" s="29">
        <f t="shared" si="42"/>
        <v>6.2440882171027005E-4</v>
      </c>
      <c r="BF149" s="29">
        <f t="shared" si="43"/>
        <v>3.8203462323538828E-2</v>
      </c>
      <c r="BH149" s="29"/>
    </row>
    <row r="150" spans="1:60" x14ac:dyDescent="0.25">
      <c r="A150" s="1">
        <v>46240</v>
      </c>
      <c r="B150" s="33">
        <v>57.81</v>
      </c>
      <c r="C150" s="33">
        <v>136.80000000000001</v>
      </c>
      <c r="D150" s="15">
        <v>-3.28123945203456E-3</v>
      </c>
      <c r="E150" s="15">
        <v>-4.7402094228044603E-3</v>
      </c>
      <c r="F150" s="33">
        <v>0</v>
      </c>
      <c r="G150" s="33">
        <v>0.43857000000000002</v>
      </c>
      <c r="H150" s="33">
        <v>0</v>
      </c>
      <c r="I150" s="33">
        <v>0.95661499999999999</v>
      </c>
      <c r="J150" s="33">
        <v>0</v>
      </c>
      <c r="K150" s="33">
        <v>0</v>
      </c>
      <c r="L150" s="33">
        <v>57.81</v>
      </c>
      <c r="M150" s="33">
        <v>136.80000000000001</v>
      </c>
      <c r="N150" s="34">
        <v>2.3663725998962102</v>
      </c>
      <c r="O150" s="34">
        <v>2.3814540004427101</v>
      </c>
      <c r="P150" s="34">
        <v>2.3700392725068702</v>
      </c>
      <c r="Q150" s="34">
        <v>2.37356374840319</v>
      </c>
      <c r="R150" s="33">
        <v>137.67185576559299</v>
      </c>
      <c r="S150" s="33">
        <v>137.08708479821601</v>
      </c>
      <c r="T150" s="33">
        <v>137.27149361171701</v>
      </c>
      <c r="U150" s="15">
        <v>6.35299160664431E-3</v>
      </c>
      <c r="V150" s="15">
        <v>2.09637415775151E-3</v>
      </c>
      <c r="W150" s="15">
        <v>3.4406648472557798E-3</v>
      </c>
      <c r="X150" s="34">
        <v>2.3663725998962102</v>
      </c>
      <c r="Y150" s="34">
        <v>2.38188334875188</v>
      </c>
      <c r="Z150" s="34">
        <v>2.3700392725068702</v>
      </c>
      <c r="AA150" s="34">
        <v>2.37356374840319</v>
      </c>
      <c r="AB150" s="33">
        <v>137.69667639134599</v>
      </c>
      <c r="AC150" s="33">
        <v>137.08708479821601</v>
      </c>
      <c r="AD150" s="33">
        <v>137.27149361171701</v>
      </c>
      <c r="AE150" s="15">
        <v>6.5332636633382403E-3</v>
      </c>
      <c r="AF150" s="15">
        <v>2.09637415775151E-3</v>
      </c>
      <c r="AG150" s="15">
        <v>3.4406648472557798E-3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1.812967343275599E-2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1</v>
      </c>
      <c r="AX150">
        <f t="shared" si="45"/>
        <v>1</v>
      </c>
      <c r="AY150">
        <f t="shared" si="39"/>
        <v>1</v>
      </c>
      <c r="AZ150" s="28">
        <f t="shared" ref="AZ150:AZ176" si="52">-AY150*D150</f>
        <v>3.28123945203456E-3</v>
      </c>
      <c r="BA150" s="28">
        <f t="shared" ref="BA150:BA176" si="53">AY150*$E150</f>
        <v>-4.7402094228044603E-3</v>
      </c>
      <c r="BB150" s="28">
        <f t="shared" si="40"/>
        <v>-1.4589699707699003E-3</v>
      </c>
      <c r="BC150" s="29">
        <f t="shared" si="41"/>
        <v>1.8614818920012946E-2</v>
      </c>
      <c r="BE150" s="29">
        <f t="shared" si="42"/>
        <v>-1.4589699707699003E-3</v>
      </c>
      <c r="BF150" s="29">
        <f t="shared" si="43"/>
        <v>3.6744492352768929E-2</v>
      </c>
      <c r="BH150" s="29"/>
    </row>
    <row r="151" spans="1:60" x14ac:dyDescent="0.25">
      <c r="A151" s="1">
        <v>46241</v>
      </c>
      <c r="B151" s="33">
        <v>57.6</v>
      </c>
      <c r="C151" s="33">
        <v>136.86000000000001</v>
      </c>
      <c r="D151" s="15">
        <v>-3.6392033925391602E-3</v>
      </c>
      <c r="E151" s="15">
        <v>4.3850033590163299E-4</v>
      </c>
      <c r="F151" s="33">
        <v>0</v>
      </c>
      <c r="G151" s="33">
        <v>0.43857000000000002</v>
      </c>
      <c r="H151" s="33">
        <v>0</v>
      </c>
      <c r="I151" s="33">
        <v>0.95661499999999999</v>
      </c>
      <c r="J151" s="33">
        <v>0</v>
      </c>
      <c r="K151" s="33">
        <v>0</v>
      </c>
      <c r="L151" s="33">
        <v>57.6</v>
      </c>
      <c r="M151" s="33">
        <v>136.86000000000001</v>
      </c>
      <c r="N151" s="34">
        <v>2.3760416666666599</v>
      </c>
      <c r="O151" s="34">
        <v>2.3814540004427101</v>
      </c>
      <c r="P151" s="34">
        <v>2.3695684968897499</v>
      </c>
      <c r="Q151" s="34">
        <v>2.3730425504584698</v>
      </c>
      <c r="R151" s="33">
        <v>137.17175042549999</v>
      </c>
      <c r="S151" s="33">
        <v>136.51426209639601</v>
      </c>
      <c r="T151" s="33">
        <v>136.71727190802301</v>
      </c>
      <c r="U151" s="15">
        <v>2.2752878782037402E-3</v>
      </c>
      <c r="V151" s="15">
        <v>-2.5294121347517102E-3</v>
      </c>
      <c r="W151" s="15">
        <v>-1.0434207778302299E-3</v>
      </c>
      <c r="X151" s="34">
        <v>2.3760416666666599</v>
      </c>
      <c r="Y151" s="34">
        <v>2.38188334875188</v>
      </c>
      <c r="Z151" s="34">
        <v>2.3695684968897499</v>
      </c>
      <c r="AA151" s="34">
        <v>2.3730425504584698</v>
      </c>
      <c r="AB151" s="33">
        <v>137.196480888108</v>
      </c>
      <c r="AC151" s="33">
        <v>136.51426209639601</v>
      </c>
      <c r="AD151" s="33">
        <v>136.71727190802301</v>
      </c>
      <c r="AE151" s="15">
        <v>2.4555599348975001E-3</v>
      </c>
      <c r="AF151" s="15">
        <v>-2.5294121347514899E-3</v>
      </c>
      <c r="AG151" s="15">
        <v>-1.0434207778302299E-3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1.812967343275599E-2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1</v>
      </c>
      <c r="AX151">
        <f t="shared" si="45"/>
        <v>1</v>
      </c>
      <c r="AY151">
        <f t="shared" ref="AY151:AY176" si="59">IF(AU150,1,IF(AV150,0,AW150))*AX150</f>
        <v>1</v>
      </c>
      <c r="AZ151" s="28">
        <f t="shared" si="52"/>
        <v>3.6392033925391602E-3</v>
      </c>
      <c r="BA151" s="28">
        <f t="shared" si="53"/>
        <v>4.3850033590163299E-4</v>
      </c>
      <c r="BB151" s="28">
        <f t="shared" ref="BB151:BB176" si="60">AZ151+BA151</f>
        <v>4.0777037284407932E-3</v>
      </c>
      <c r="BC151" s="29">
        <f t="shared" ref="BC151:BC176" si="61">BC150+BB151</f>
        <v>2.2692522648453738E-2</v>
      </c>
      <c r="BE151" s="29">
        <f t="shared" ref="BE151:BE176" si="62">AQ151+BB151</f>
        <v>4.0777037284407932E-3</v>
      </c>
      <c r="BF151" s="29">
        <f t="shared" ref="BF151:BF176" si="63">BF150+BE151</f>
        <v>4.0822196081209725E-2</v>
      </c>
      <c r="BH151" s="29"/>
    </row>
    <row r="152" spans="1:60" x14ac:dyDescent="0.25">
      <c r="A152" s="1">
        <v>46244</v>
      </c>
      <c r="B152" s="33">
        <v>57.81</v>
      </c>
      <c r="C152" s="33">
        <v>137.35</v>
      </c>
      <c r="D152" s="15">
        <v>3.6392033925391701E-3</v>
      </c>
      <c r="E152" s="15">
        <v>3.5739070169311499E-3</v>
      </c>
      <c r="F152" s="33">
        <v>0</v>
      </c>
      <c r="G152" s="33">
        <v>0.43857000000000002</v>
      </c>
      <c r="H152" s="33">
        <v>0</v>
      </c>
      <c r="I152" s="33">
        <v>0.95661499999999999</v>
      </c>
      <c r="J152" s="33">
        <v>0</v>
      </c>
      <c r="K152" s="33">
        <v>0</v>
      </c>
      <c r="L152" s="33">
        <v>57.81</v>
      </c>
      <c r="M152" s="33">
        <v>137.35</v>
      </c>
      <c r="N152" s="34">
        <v>2.3758865248226901</v>
      </c>
      <c r="O152" s="34">
        <v>2.3814540004427101</v>
      </c>
      <c r="P152" s="34">
        <v>2.3695165023959301</v>
      </c>
      <c r="Q152" s="34">
        <v>2.3729676061449401</v>
      </c>
      <c r="R152" s="33">
        <v>137.67185576559299</v>
      </c>
      <c r="S152" s="33">
        <v>136.98475480519599</v>
      </c>
      <c r="T152" s="33">
        <v>137.18558984200399</v>
      </c>
      <c r="U152" s="15">
        <v>2.3405842538117001E-3</v>
      </c>
      <c r="V152" s="15">
        <v>-2.6627716992859499E-3</v>
      </c>
      <c r="W152" s="15">
        <v>-1.1977330716556401E-3</v>
      </c>
      <c r="X152" s="34">
        <v>2.3758865248226901</v>
      </c>
      <c r="Y152" s="34">
        <v>2.38188334875188</v>
      </c>
      <c r="Z152" s="34">
        <v>2.3695165023959301</v>
      </c>
      <c r="AA152" s="34">
        <v>2.3729676061449401</v>
      </c>
      <c r="AB152" s="33">
        <v>137.69667639134599</v>
      </c>
      <c r="AC152" s="33">
        <v>136.98475480519599</v>
      </c>
      <c r="AD152" s="33">
        <v>137.18558984200399</v>
      </c>
      <c r="AE152" s="15">
        <v>2.5208563105055901E-3</v>
      </c>
      <c r="AF152" s="15">
        <v>-2.6627716992859499E-3</v>
      </c>
      <c r="AG152" s="15">
        <v>-1.1977330716556401E-3</v>
      </c>
      <c r="AI152" s="12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1.812967343275599E-2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2.2692522648453738E-2</v>
      </c>
      <c r="BE152" s="29">
        <f t="shared" si="62"/>
        <v>0</v>
      </c>
      <c r="BF152" s="29">
        <f t="shared" si="63"/>
        <v>4.0822196081209725E-2</v>
      </c>
      <c r="BH152" s="29"/>
    </row>
    <row r="153" spans="1:60" x14ac:dyDescent="0.25">
      <c r="A153" s="1">
        <v>46245</v>
      </c>
      <c r="B153" s="33">
        <v>57.8</v>
      </c>
      <c r="C153" s="33">
        <v>137.37</v>
      </c>
      <c r="D153" s="15">
        <v>-1.7299541605304399E-4</v>
      </c>
      <c r="E153" s="15">
        <v>1.4560279583103399E-4</v>
      </c>
      <c r="F153" s="33">
        <v>0</v>
      </c>
      <c r="G153" s="33">
        <v>0.43857000000000002</v>
      </c>
      <c r="H153" s="33">
        <v>0</v>
      </c>
      <c r="I153" s="33">
        <v>0.95661499999999999</v>
      </c>
      <c r="J153" s="33">
        <v>0</v>
      </c>
      <c r="K153" s="33">
        <v>0</v>
      </c>
      <c r="L153" s="33">
        <v>57.8</v>
      </c>
      <c r="M153" s="33">
        <v>137.37</v>
      </c>
      <c r="N153" s="34">
        <v>2.3766435986159098</v>
      </c>
      <c r="O153" s="34">
        <v>2.3814540004427101</v>
      </c>
      <c r="P153" s="34">
        <v>2.3698371122575201</v>
      </c>
      <c r="Q153" s="34">
        <v>2.3728606618322399</v>
      </c>
      <c r="R153" s="33">
        <v>137.648041225588</v>
      </c>
      <c r="S153" s="33">
        <v>136.958053838485</v>
      </c>
      <c r="T153" s="33">
        <v>137.15752763517801</v>
      </c>
      <c r="U153" s="15">
        <v>2.0219860419277498E-3</v>
      </c>
      <c r="V153" s="15">
        <v>-3.0033127519632002E-3</v>
      </c>
      <c r="W153" s="15">
        <v>-1.5479133118380499E-3</v>
      </c>
      <c r="X153" s="34">
        <v>2.3766435986159098</v>
      </c>
      <c r="Y153" s="34">
        <v>2.38188334875188</v>
      </c>
      <c r="Z153" s="34">
        <v>2.3698371122575201</v>
      </c>
      <c r="AA153" s="34">
        <v>2.3728606618322399</v>
      </c>
      <c r="AB153" s="33">
        <v>137.672857557859</v>
      </c>
      <c r="AC153" s="33">
        <v>136.958053838485</v>
      </c>
      <c r="AD153" s="33">
        <v>137.15752763517801</v>
      </c>
      <c r="AE153" s="15">
        <v>2.20225809862174E-3</v>
      </c>
      <c r="AF153" s="15">
        <v>-3.0033127519632002E-3</v>
      </c>
      <c r="AG153" s="15">
        <v>-1.5479133118380499E-3</v>
      </c>
      <c r="AI153" s="12"/>
      <c r="AJ153">
        <f t="shared" si="46"/>
        <v>0</v>
      </c>
      <c r="AK153">
        <f t="shared" si="47"/>
        <v>0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1.812967343275599E-2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2.2692522648453738E-2</v>
      </c>
      <c r="BE153" s="29">
        <f t="shared" si="62"/>
        <v>0</v>
      </c>
      <c r="BF153" s="29">
        <f t="shared" si="63"/>
        <v>4.0822196081209725E-2</v>
      </c>
      <c r="BH153" s="29"/>
    </row>
    <row r="154" spans="1:60" x14ac:dyDescent="0.25">
      <c r="A154" s="1">
        <v>46246</v>
      </c>
      <c r="B154" s="33">
        <v>57.92</v>
      </c>
      <c r="C154" s="33">
        <v>137.74</v>
      </c>
      <c r="D154" s="15">
        <v>2.0739723991291701E-3</v>
      </c>
      <c r="E154" s="15">
        <v>2.6898347794384798E-3</v>
      </c>
      <c r="F154" s="33">
        <v>0</v>
      </c>
      <c r="G154" s="33">
        <v>0.43857000000000002</v>
      </c>
      <c r="H154" s="33">
        <v>0</v>
      </c>
      <c r="I154" s="33">
        <v>0.95661499999999999</v>
      </c>
      <c r="J154" s="33">
        <v>0</v>
      </c>
      <c r="K154" s="33">
        <v>0</v>
      </c>
      <c r="L154" s="33">
        <v>57.92</v>
      </c>
      <c r="M154" s="33">
        <v>137.74</v>
      </c>
      <c r="N154" s="34">
        <v>2.37810773480662</v>
      </c>
      <c r="O154" s="34">
        <v>2.3814540004427101</v>
      </c>
      <c r="P154" s="34">
        <v>2.3709153522166599</v>
      </c>
      <c r="Q154" s="34">
        <v>2.3728657656871399</v>
      </c>
      <c r="R154" s="33">
        <v>137.93381570564199</v>
      </c>
      <c r="S154" s="33">
        <v>137.26096554195601</v>
      </c>
      <c r="T154" s="33">
        <v>137.43608953332301</v>
      </c>
      <c r="U154" s="15">
        <v>1.4061236616184701E-3</v>
      </c>
      <c r="V154" s="15">
        <v>-3.4838782592603399E-3</v>
      </c>
      <c r="W154" s="15">
        <v>-2.2088444585190502E-3</v>
      </c>
      <c r="X154" s="34">
        <v>2.37810773480662</v>
      </c>
      <c r="Y154" s="34">
        <v>2.38188334875188</v>
      </c>
      <c r="Z154" s="34">
        <v>2.3709153522166599</v>
      </c>
      <c r="AA154" s="34">
        <v>2.3728657656871399</v>
      </c>
      <c r="AB154" s="33">
        <v>137.95868355970899</v>
      </c>
      <c r="AC154" s="33">
        <v>137.26096554195601</v>
      </c>
      <c r="AD154" s="33">
        <v>137.43608953332301</v>
      </c>
      <c r="AE154" s="15">
        <v>1.5863957183123601E-3</v>
      </c>
      <c r="AF154" s="15">
        <v>-3.48387825926012E-3</v>
      </c>
      <c r="AG154" s="15">
        <v>-2.2088444585190502E-3</v>
      </c>
      <c r="AI154" s="12"/>
      <c r="AJ154">
        <f t="shared" si="46"/>
        <v>0</v>
      </c>
      <c r="AK154">
        <f t="shared" si="47"/>
        <v>0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1.812967343275599E-2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2.2692522648453738E-2</v>
      </c>
      <c r="BE154" s="29">
        <f t="shared" si="62"/>
        <v>0</v>
      </c>
      <c r="BF154" s="29">
        <f t="shared" si="63"/>
        <v>4.0822196081209725E-2</v>
      </c>
      <c r="BH154" s="29"/>
    </row>
    <row r="155" spans="1:60" x14ac:dyDescent="0.25">
      <c r="A155" s="1">
        <v>46247</v>
      </c>
      <c r="B155" s="33">
        <v>58.26</v>
      </c>
      <c r="C155" s="33">
        <v>138.51</v>
      </c>
      <c r="D155" s="15">
        <v>5.8530034538274503E-3</v>
      </c>
      <c r="E155" s="15">
        <v>5.5746750704548801E-3</v>
      </c>
      <c r="F155" s="33">
        <v>0</v>
      </c>
      <c r="G155" s="33">
        <v>0.43857000000000002</v>
      </c>
      <c r="H155" s="33">
        <v>0</v>
      </c>
      <c r="I155" s="33">
        <v>0.95661499999999999</v>
      </c>
      <c r="J155" s="33">
        <v>0</v>
      </c>
      <c r="K155" s="33">
        <v>0</v>
      </c>
      <c r="L155" s="33">
        <v>58.26</v>
      </c>
      <c r="M155" s="33">
        <v>138.51</v>
      </c>
      <c r="N155" s="34">
        <v>2.3774459320288299</v>
      </c>
      <c r="O155" s="34">
        <v>2.3814540004427101</v>
      </c>
      <c r="P155" s="34">
        <v>2.3722213489283202</v>
      </c>
      <c r="Q155" s="34">
        <v>2.3731829962092799</v>
      </c>
      <c r="R155" s="33">
        <v>138.74351006579201</v>
      </c>
      <c r="S155" s="33">
        <v>138.129528420143</v>
      </c>
      <c r="T155" s="33">
        <v>138.243159508932</v>
      </c>
      <c r="U155" s="15">
        <v>1.6844520449911099E-3</v>
      </c>
      <c r="V155" s="15">
        <v>-2.75066851019255E-3</v>
      </c>
      <c r="W155" s="15">
        <v>-1.92836514842207E-3</v>
      </c>
      <c r="X155" s="34">
        <v>2.3774459320288299</v>
      </c>
      <c r="Y155" s="34">
        <v>2.38188334875188</v>
      </c>
      <c r="Z155" s="34">
        <v>2.3722213489283202</v>
      </c>
      <c r="AA155" s="34">
        <v>2.3731829962092799</v>
      </c>
      <c r="AB155" s="33">
        <v>138.768523898284</v>
      </c>
      <c r="AC155" s="33">
        <v>138.129528420143</v>
      </c>
      <c r="AD155" s="33">
        <v>138.243159508932</v>
      </c>
      <c r="AE155" s="15">
        <v>1.8647241016849999E-3</v>
      </c>
      <c r="AF155" s="15">
        <v>-2.75066851019255E-3</v>
      </c>
      <c r="AG155" s="15">
        <v>-1.9283651484218399E-3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1.812967343275599E-2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2.2692522648453738E-2</v>
      </c>
      <c r="BE155" s="29">
        <f t="shared" si="62"/>
        <v>0</v>
      </c>
      <c r="BF155" s="29">
        <f t="shared" si="63"/>
        <v>4.0822196081209725E-2</v>
      </c>
      <c r="BH155" s="29"/>
    </row>
    <row r="156" spans="1:60" x14ac:dyDescent="0.25">
      <c r="A156" s="1">
        <v>46248</v>
      </c>
      <c r="B156" s="33">
        <v>58.16</v>
      </c>
      <c r="C156" s="33">
        <v>138.29</v>
      </c>
      <c r="D156" s="15">
        <v>-1.7179183060246201E-3</v>
      </c>
      <c r="E156" s="15">
        <v>-1.58959571044019E-3</v>
      </c>
      <c r="F156" s="33">
        <v>0</v>
      </c>
      <c r="G156" s="33">
        <v>0.43857000000000002</v>
      </c>
      <c r="H156" s="33">
        <v>0</v>
      </c>
      <c r="I156" s="33">
        <v>0.95661499999999999</v>
      </c>
      <c r="J156" s="33">
        <v>0</v>
      </c>
      <c r="K156" s="33">
        <v>0</v>
      </c>
      <c r="L156" s="33">
        <v>58.16</v>
      </c>
      <c r="M156" s="33">
        <v>138.29</v>
      </c>
      <c r="N156" s="34">
        <v>2.3777510316368602</v>
      </c>
      <c r="O156" s="34">
        <v>2.3814540004427101</v>
      </c>
      <c r="P156" s="34">
        <v>2.3735194587657</v>
      </c>
      <c r="Q156" s="34">
        <v>2.37330943865497</v>
      </c>
      <c r="R156" s="33">
        <v>138.505364665748</v>
      </c>
      <c r="S156" s="33">
        <v>137.968393653671</v>
      </c>
      <c r="T156" s="33">
        <v>138.02432305953201</v>
      </c>
      <c r="U156" s="15">
        <v>1.55612944940673E-3</v>
      </c>
      <c r="V156" s="15">
        <v>-2.3283020462167101E-3</v>
      </c>
      <c r="W156" s="15">
        <v>-1.92300579570204E-3</v>
      </c>
      <c r="X156" s="34">
        <v>2.3777510316368602</v>
      </c>
      <c r="Y156" s="34">
        <v>2.38188334875188</v>
      </c>
      <c r="Z156" s="34">
        <v>2.3735194587657</v>
      </c>
      <c r="AA156" s="34">
        <v>2.37330943865497</v>
      </c>
      <c r="AB156" s="33">
        <v>138.53033556340901</v>
      </c>
      <c r="AC156" s="33">
        <v>137.968393653671</v>
      </c>
      <c r="AD156" s="33">
        <v>138.02432305953201</v>
      </c>
      <c r="AE156" s="15">
        <v>1.73640150610061E-3</v>
      </c>
      <c r="AF156" s="15">
        <v>-2.3283020462167101E-3</v>
      </c>
      <c r="AG156" s="15">
        <v>-1.92300579570182E-3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1.812967343275599E-2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2.2692522648453738E-2</v>
      </c>
      <c r="BE156" s="29">
        <f t="shared" si="62"/>
        <v>0</v>
      </c>
      <c r="BF156" s="29">
        <f t="shared" si="63"/>
        <v>4.0822196081209725E-2</v>
      </c>
      <c r="BH156" s="29"/>
    </row>
    <row r="157" spans="1:60" x14ac:dyDescent="0.25">
      <c r="A157" s="1">
        <v>46251</v>
      </c>
      <c r="B157" s="33">
        <v>57.58</v>
      </c>
      <c r="C157" s="33">
        <v>137.01</v>
      </c>
      <c r="D157" s="15">
        <v>-1.0022548041234E-2</v>
      </c>
      <c r="E157" s="15">
        <v>-9.2990136115497606E-3</v>
      </c>
      <c r="F157" s="33">
        <v>0</v>
      </c>
      <c r="G157" s="33">
        <v>0.43857000000000002</v>
      </c>
      <c r="H157" s="33">
        <v>0</v>
      </c>
      <c r="I157" s="33">
        <v>0.95661499999999999</v>
      </c>
      <c r="J157" s="33">
        <v>0</v>
      </c>
      <c r="K157" s="33">
        <v>0</v>
      </c>
      <c r="L157" s="33">
        <v>57.58</v>
      </c>
      <c r="M157" s="33">
        <v>137.01</v>
      </c>
      <c r="N157" s="34">
        <v>2.37947203890239</v>
      </c>
      <c r="O157" s="34">
        <v>2.3814540004427101</v>
      </c>
      <c r="P157" s="34">
        <v>2.37458970204248</v>
      </c>
      <c r="Q157" s="34">
        <v>2.3736891790726098</v>
      </c>
      <c r="R157" s="33">
        <v>137.12412134549101</v>
      </c>
      <c r="S157" s="33">
        <v>136.66725043572899</v>
      </c>
      <c r="T157" s="33">
        <v>136.65515747775299</v>
      </c>
      <c r="U157" s="15">
        <v>8.3259501972233205E-4</v>
      </c>
      <c r="V157" s="15">
        <v>-2.5047733629521402E-3</v>
      </c>
      <c r="W157" s="15">
        <v>-2.5932619583483598E-3</v>
      </c>
      <c r="X157" s="34">
        <v>2.37947203890239</v>
      </c>
      <c r="Y157" s="34">
        <v>2.38188334875188</v>
      </c>
      <c r="Z157" s="34">
        <v>2.37458970204248</v>
      </c>
      <c r="AA157" s="34">
        <v>2.3736891790726098</v>
      </c>
      <c r="AB157" s="33">
        <v>137.14884322113301</v>
      </c>
      <c r="AC157" s="33">
        <v>136.66725043572899</v>
      </c>
      <c r="AD157" s="33">
        <v>136.65515747775299</v>
      </c>
      <c r="AE157" s="15">
        <v>1.01286707641625E-3</v>
      </c>
      <c r="AF157" s="15">
        <v>-2.5047733629521402E-3</v>
      </c>
      <c r="AG157" s="15">
        <v>-2.5932619583481399E-3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1.812967343275599E-2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2.2692522648453738E-2</v>
      </c>
      <c r="BE157" s="29">
        <f t="shared" si="62"/>
        <v>0</v>
      </c>
      <c r="BF157" s="29">
        <f t="shared" si="63"/>
        <v>4.0822196081209725E-2</v>
      </c>
      <c r="BH157" s="29"/>
    </row>
    <row r="158" spans="1:60" x14ac:dyDescent="0.25">
      <c r="A158" s="1">
        <v>46252</v>
      </c>
      <c r="B158" s="33">
        <v>57.84</v>
      </c>
      <c r="C158" s="33">
        <v>137.18</v>
      </c>
      <c r="D158" s="15">
        <v>4.5052926664795401E-3</v>
      </c>
      <c r="E158" s="15">
        <v>1.2400162061581899E-3</v>
      </c>
      <c r="F158" s="33">
        <v>0</v>
      </c>
      <c r="G158" s="33">
        <v>0.43857000000000002</v>
      </c>
      <c r="H158" s="33">
        <v>0</v>
      </c>
      <c r="I158" s="33">
        <v>0.95661499999999999</v>
      </c>
      <c r="J158" s="33">
        <v>0</v>
      </c>
      <c r="K158" s="33">
        <v>0</v>
      </c>
      <c r="L158" s="33">
        <v>57.84</v>
      </c>
      <c r="M158" s="33">
        <v>137.18</v>
      </c>
      <c r="N158" s="34">
        <v>2.3717150760719199</v>
      </c>
      <c r="O158" s="34">
        <v>2.3814540004427101</v>
      </c>
      <c r="P158" s="34">
        <v>2.3749263789655002</v>
      </c>
      <c r="Q158" s="34">
        <v>2.3735349578272</v>
      </c>
      <c r="R158" s="33">
        <v>137.74329938560601</v>
      </c>
      <c r="S158" s="33">
        <v>137.346268366137</v>
      </c>
      <c r="T158" s="33">
        <v>137.29418211756001</v>
      </c>
      <c r="U158" s="15">
        <v>4.0978714800437603E-3</v>
      </c>
      <c r="V158" s="15">
        <v>1.2113113069803199E-3</v>
      </c>
      <c r="W158" s="15">
        <v>8.3200629848705998E-4</v>
      </c>
      <c r="X158" s="34">
        <v>2.3717150760719199</v>
      </c>
      <c r="Y158" s="34">
        <v>2.38188334875188</v>
      </c>
      <c r="Z158" s="34">
        <v>2.3749263789655002</v>
      </c>
      <c r="AA158" s="34">
        <v>2.3735349578272</v>
      </c>
      <c r="AB158" s="33">
        <v>137.76813289180899</v>
      </c>
      <c r="AC158" s="33">
        <v>137.346268366137</v>
      </c>
      <c r="AD158" s="33">
        <v>137.29418211756001</v>
      </c>
      <c r="AE158" s="15">
        <v>4.2781435367375796E-3</v>
      </c>
      <c r="AF158" s="15">
        <v>1.2113113069803199E-3</v>
      </c>
      <c r="AG158" s="15">
        <v>8.3200629848705998E-4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1.812967343275599E-2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2.2692522648453738E-2</v>
      </c>
      <c r="BE158" s="29">
        <f t="shared" si="62"/>
        <v>0</v>
      </c>
      <c r="BF158" s="29">
        <f t="shared" si="63"/>
        <v>4.0822196081209725E-2</v>
      </c>
      <c r="BH158" s="29"/>
    </row>
    <row r="159" spans="1:60" x14ac:dyDescent="0.25">
      <c r="A159" s="1">
        <v>46253</v>
      </c>
      <c r="B159" s="33">
        <v>57.48</v>
      </c>
      <c r="C159" s="33">
        <v>136.19999999999999</v>
      </c>
      <c r="D159" s="15">
        <v>-6.2435166396851496E-3</v>
      </c>
      <c r="E159" s="15">
        <v>-7.1695383557634999E-3</v>
      </c>
      <c r="F159" s="33">
        <v>0</v>
      </c>
      <c r="G159" s="33">
        <v>0.43857000000000002</v>
      </c>
      <c r="H159" s="33">
        <v>0</v>
      </c>
      <c r="I159" s="33">
        <v>0.95661499999999999</v>
      </c>
      <c r="J159" s="33">
        <v>0</v>
      </c>
      <c r="K159" s="33">
        <v>0</v>
      </c>
      <c r="L159" s="33">
        <v>57.48</v>
      </c>
      <c r="M159" s="33">
        <v>136.19999999999999</v>
      </c>
      <c r="N159" s="34">
        <v>2.3695198329853802</v>
      </c>
      <c r="O159" s="34">
        <v>2.3814540004427101</v>
      </c>
      <c r="P159" s="34">
        <v>2.37489560364335</v>
      </c>
      <c r="Q159" s="34">
        <v>2.3731171046950199</v>
      </c>
      <c r="R159" s="33">
        <v>136.885975945447</v>
      </c>
      <c r="S159" s="33">
        <v>136.51076826293701</v>
      </c>
      <c r="T159" s="33">
        <v>136.43078937590701</v>
      </c>
      <c r="U159" s="15">
        <v>5.02389319612195E-3</v>
      </c>
      <c r="V159" s="15">
        <v>2.27910617124442E-3</v>
      </c>
      <c r="W159" s="15">
        <v>1.69305478346361E-3</v>
      </c>
      <c r="X159" s="34">
        <v>2.3695198329853802</v>
      </c>
      <c r="Y159" s="34">
        <v>2.38188334875188</v>
      </c>
      <c r="Z159" s="34">
        <v>2.37489560364335</v>
      </c>
      <c r="AA159" s="34">
        <v>2.3731171046950199</v>
      </c>
      <c r="AB159" s="33">
        <v>136.91065488625799</v>
      </c>
      <c r="AC159" s="33">
        <v>136.51076826293701</v>
      </c>
      <c r="AD159" s="33">
        <v>136.43078937590701</v>
      </c>
      <c r="AE159" s="15">
        <v>5.2041652528159498E-3</v>
      </c>
      <c r="AF159" s="15">
        <v>2.27910617124442E-3</v>
      </c>
      <c r="AG159" s="15">
        <v>1.69305478346361E-3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1.812967343275599E-2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2.2692522648453738E-2</v>
      </c>
      <c r="BE159" s="29">
        <f t="shared" si="62"/>
        <v>0</v>
      </c>
      <c r="BF159" s="29">
        <f t="shared" si="63"/>
        <v>4.0822196081209725E-2</v>
      </c>
      <c r="BH159" s="29"/>
    </row>
    <row r="160" spans="1:60" x14ac:dyDescent="0.25">
      <c r="A160" s="1">
        <v>46254</v>
      </c>
      <c r="B160" s="33">
        <v>56.95</v>
      </c>
      <c r="C160" s="33">
        <v>134.82</v>
      </c>
      <c r="D160" s="15">
        <v>-9.2633713176328795E-3</v>
      </c>
      <c r="E160" s="15">
        <v>-1.0183838290119099E-2</v>
      </c>
      <c r="F160" s="33">
        <v>0</v>
      </c>
      <c r="G160" s="33">
        <v>0.43857000000000002</v>
      </c>
      <c r="H160" s="33">
        <v>0</v>
      </c>
      <c r="I160" s="33">
        <v>0.95661499999999999</v>
      </c>
      <c r="J160" s="33">
        <v>0</v>
      </c>
      <c r="K160" s="33">
        <v>0</v>
      </c>
      <c r="L160" s="33">
        <v>56.95</v>
      </c>
      <c r="M160" s="33">
        <v>134.82</v>
      </c>
      <c r="N160" s="34">
        <v>2.3673397717295801</v>
      </c>
      <c r="O160" s="34">
        <v>2.3814540004427101</v>
      </c>
      <c r="P160" s="34">
        <v>2.3749923208266899</v>
      </c>
      <c r="Q160" s="34">
        <v>2.37251579666678</v>
      </c>
      <c r="R160" s="33">
        <v>135.623805325212</v>
      </c>
      <c r="S160" s="33">
        <v>135.25030462748799</v>
      </c>
      <c r="T160" s="33">
        <v>135.14901911238101</v>
      </c>
      <c r="U160" s="15">
        <v>5.9443601686082403E-3</v>
      </c>
      <c r="V160" s="15">
        <v>3.1866146277001002E-3</v>
      </c>
      <c r="W160" s="15">
        <v>2.4374595008062301E-3</v>
      </c>
      <c r="X160" s="34">
        <v>2.3673397717295801</v>
      </c>
      <c r="Y160" s="34">
        <v>2.38188334875188</v>
      </c>
      <c r="Z160" s="34">
        <v>2.3749923208266899</v>
      </c>
      <c r="AA160" s="34">
        <v>2.37251579666678</v>
      </c>
      <c r="AB160" s="33">
        <v>135.64825671141901</v>
      </c>
      <c r="AC160" s="33">
        <v>135.25030462748799</v>
      </c>
      <c r="AD160" s="33">
        <v>135.14901911238101</v>
      </c>
      <c r="AE160" s="15">
        <v>6.1246322253020501E-3</v>
      </c>
      <c r="AF160" s="15">
        <v>3.1866146277001002E-3</v>
      </c>
      <c r="AG160" s="15">
        <v>2.4374595008062301E-3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1.812967343275599E-2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2.2692522648453738E-2</v>
      </c>
      <c r="BE160" s="29">
        <f t="shared" si="62"/>
        <v>0</v>
      </c>
      <c r="BF160" s="29">
        <f t="shared" si="63"/>
        <v>4.0822196081209725E-2</v>
      </c>
      <c r="BH160" s="29"/>
    </row>
    <row r="161" spans="1:60" x14ac:dyDescent="0.25">
      <c r="A161" s="1">
        <v>46255</v>
      </c>
      <c r="B161" s="33">
        <v>57.48</v>
      </c>
      <c r="C161" s="33">
        <v>136.16</v>
      </c>
      <c r="D161" s="15">
        <v>9.2633713176329003E-3</v>
      </c>
      <c r="E161" s="15">
        <v>9.8901093997711895E-3</v>
      </c>
      <c r="F161" s="33">
        <v>0</v>
      </c>
      <c r="G161" s="33">
        <v>0.43857000000000002</v>
      </c>
      <c r="H161" s="33">
        <v>0</v>
      </c>
      <c r="I161" s="33">
        <v>0.95661499999999999</v>
      </c>
      <c r="J161" s="33">
        <v>0</v>
      </c>
      <c r="K161" s="33">
        <v>0</v>
      </c>
      <c r="L161" s="33">
        <v>57.48</v>
      </c>
      <c r="M161" s="33">
        <v>136.16</v>
      </c>
      <c r="N161" s="34">
        <v>2.3688239387613002</v>
      </c>
      <c r="O161" s="34">
        <v>2.3814540004427101</v>
      </c>
      <c r="P161" s="34">
        <v>2.3742705480361499</v>
      </c>
      <c r="Q161" s="34">
        <v>2.3719195224629499</v>
      </c>
      <c r="R161" s="33">
        <v>136.885975945447</v>
      </c>
      <c r="S161" s="33">
        <v>136.51455860111801</v>
      </c>
      <c r="T161" s="33">
        <v>136.372207992406</v>
      </c>
      <c r="U161" s="15">
        <v>5.31762208647007E-3</v>
      </c>
      <c r="V161" s="15">
        <v>2.60060053100678E-3</v>
      </c>
      <c r="W161" s="15">
        <v>1.55730610232958E-3</v>
      </c>
      <c r="X161" s="34">
        <v>2.3688239387613002</v>
      </c>
      <c r="Y161" s="34">
        <v>2.38188334875188</v>
      </c>
      <c r="Z161" s="34">
        <v>2.3742705480361499</v>
      </c>
      <c r="AA161" s="34">
        <v>2.3719195224629499</v>
      </c>
      <c r="AB161" s="33">
        <v>136.91065488625799</v>
      </c>
      <c r="AC161" s="33">
        <v>136.51455860111801</v>
      </c>
      <c r="AD161" s="33">
        <v>136.372207992406</v>
      </c>
      <c r="AE161" s="15">
        <v>5.4978941431638303E-3</v>
      </c>
      <c r="AF161" s="15">
        <v>2.60060053100678E-3</v>
      </c>
      <c r="AG161" s="15">
        <v>1.55730610232958E-3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1.812967343275599E-2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2.2692522648453738E-2</v>
      </c>
      <c r="BE161" s="29">
        <f t="shared" si="62"/>
        <v>0</v>
      </c>
      <c r="BF161" s="29">
        <f t="shared" si="63"/>
        <v>4.0822196081209725E-2</v>
      </c>
      <c r="BH161" s="29"/>
    </row>
    <row r="162" spans="1:60" x14ac:dyDescent="0.25">
      <c r="A162" s="1">
        <v>46258</v>
      </c>
      <c r="B162" s="33">
        <v>58.22</v>
      </c>
      <c r="C162" s="33">
        <v>137.36000000000001</v>
      </c>
      <c r="D162" s="15">
        <v>1.2791877106653001E-2</v>
      </c>
      <c r="E162" s="15">
        <v>8.7745517641561292E-3</v>
      </c>
      <c r="F162" s="33">
        <v>0</v>
      </c>
      <c r="G162" s="33">
        <v>0.43857000000000002</v>
      </c>
      <c r="H162" s="33">
        <v>0</v>
      </c>
      <c r="I162" s="33">
        <v>0.95661499999999999</v>
      </c>
      <c r="J162" s="33">
        <v>0</v>
      </c>
      <c r="K162" s="33">
        <v>0</v>
      </c>
      <c r="L162" s="33">
        <v>58.22</v>
      </c>
      <c r="M162" s="33">
        <v>137.36000000000001</v>
      </c>
      <c r="N162" s="34">
        <v>2.3593266918584601</v>
      </c>
      <c r="O162" s="34">
        <v>2.3814540004427101</v>
      </c>
      <c r="P162" s="34">
        <v>2.3726145647397301</v>
      </c>
      <c r="Q162" s="34">
        <v>2.3710655335678301</v>
      </c>
      <c r="R162" s="33">
        <v>138.648251905774</v>
      </c>
      <c r="S162" s="33">
        <v>138.23003130666399</v>
      </c>
      <c r="T162" s="33">
        <v>138.09315459779299</v>
      </c>
      <c r="U162" s="15">
        <v>9.3349474289665807E-3</v>
      </c>
      <c r="V162" s="15">
        <v>6.3139743694399899E-3</v>
      </c>
      <c r="W162" s="15">
        <v>5.3232741528162399E-3</v>
      </c>
      <c r="X162" s="34">
        <v>2.3593266918584601</v>
      </c>
      <c r="Y162" s="34">
        <v>2.38188334875188</v>
      </c>
      <c r="Z162" s="34">
        <v>2.3726145647397301</v>
      </c>
      <c r="AA162" s="34">
        <v>2.3710655335678301</v>
      </c>
      <c r="AB162" s="33">
        <v>138.67324856433399</v>
      </c>
      <c r="AC162" s="33">
        <v>138.23003130666399</v>
      </c>
      <c r="AD162" s="33">
        <v>138.09315459779299</v>
      </c>
      <c r="AE162" s="15">
        <v>9.51521948566059E-3</v>
      </c>
      <c r="AF162" s="15">
        <v>6.3139743694399899E-3</v>
      </c>
      <c r="AG162" s="15">
        <v>5.3232741528160196E-3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1.812967343275599E-2</v>
      </c>
      <c r="AT162" s="12"/>
      <c r="AU162">
        <f t="shared" si="50"/>
        <v>1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2.2692522648453738E-2</v>
      </c>
      <c r="BE162" s="29">
        <f t="shared" si="62"/>
        <v>0</v>
      </c>
      <c r="BF162" s="29">
        <f t="shared" si="63"/>
        <v>4.0822196081209725E-2</v>
      </c>
      <c r="BH162" s="29"/>
    </row>
    <row r="163" spans="1:60" x14ac:dyDescent="0.25">
      <c r="A163" s="1">
        <v>46259</v>
      </c>
      <c r="B163" s="33">
        <v>58.31</v>
      </c>
      <c r="C163" s="33">
        <v>137.63</v>
      </c>
      <c r="D163" s="15">
        <v>1.54466691658757E-3</v>
      </c>
      <c r="E163" s="15">
        <v>1.9637084022208302E-3</v>
      </c>
      <c r="F163" s="33">
        <v>0</v>
      </c>
      <c r="G163" s="33">
        <v>0.43857000000000002</v>
      </c>
      <c r="H163" s="33">
        <v>0</v>
      </c>
      <c r="I163" s="33">
        <v>0.95661499999999999</v>
      </c>
      <c r="J163" s="33">
        <v>0</v>
      </c>
      <c r="K163" s="33">
        <v>0</v>
      </c>
      <c r="L163" s="33">
        <v>58.31</v>
      </c>
      <c r="M163" s="33">
        <v>137.63</v>
      </c>
      <c r="N163" s="34">
        <v>2.3603155547933401</v>
      </c>
      <c r="O163" s="34">
        <v>2.3814540004427101</v>
      </c>
      <c r="P163" s="34">
        <v>2.3709817603574699</v>
      </c>
      <c r="Q163" s="34">
        <v>2.3704094363074999</v>
      </c>
      <c r="R163" s="33">
        <v>138.86258276581401</v>
      </c>
      <c r="S163" s="33">
        <v>138.347155269973</v>
      </c>
      <c r="T163" s="33">
        <v>138.25683126234</v>
      </c>
      <c r="U163" s="15">
        <v>8.9159059433332796E-3</v>
      </c>
      <c r="V163" s="15">
        <v>5.1972191939834E-3</v>
      </c>
      <c r="W163" s="15">
        <v>4.54412657607691E-3</v>
      </c>
      <c r="X163" s="34">
        <v>2.3603155547933401</v>
      </c>
      <c r="Y163" s="34">
        <v>2.38188334875188</v>
      </c>
      <c r="Z163" s="34">
        <v>2.3709817603574699</v>
      </c>
      <c r="AA163" s="34">
        <v>2.3704094363074999</v>
      </c>
      <c r="AB163" s="33">
        <v>138.88761806572199</v>
      </c>
      <c r="AC163" s="33">
        <v>138.347155269973</v>
      </c>
      <c r="AD163" s="33">
        <v>138.25683126234</v>
      </c>
      <c r="AE163" s="15">
        <v>9.0961780000273201E-3</v>
      </c>
      <c r="AF163" s="15">
        <v>5.1972191939831797E-3</v>
      </c>
      <c r="AG163" s="15">
        <v>4.5441265760771303E-3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1.812967343275599E-2</v>
      </c>
      <c r="AT163" s="12"/>
      <c r="AU163">
        <f t="shared" si="50"/>
        <v>0</v>
      </c>
      <c r="AV163">
        <f t="shared" si="51"/>
        <v>0</v>
      </c>
      <c r="AW163">
        <f t="shared" si="58"/>
        <v>1</v>
      </c>
      <c r="AX163">
        <f t="shared" si="45"/>
        <v>1</v>
      </c>
      <c r="AY163">
        <f t="shared" si="59"/>
        <v>1</v>
      </c>
      <c r="AZ163" s="28">
        <f t="shared" si="52"/>
        <v>-1.54466691658757E-3</v>
      </c>
      <c r="BA163" s="28">
        <f t="shared" si="53"/>
        <v>1.9637084022208302E-3</v>
      </c>
      <c r="BB163" s="28">
        <f t="shared" si="60"/>
        <v>4.1904148563326016E-4</v>
      </c>
      <c r="BC163" s="29">
        <f t="shared" si="61"/>
        <v>2.3111564134087E-2</v>
      </c>
      <c r="BE163" s="29">
        <f t="shared" si="62"/>
        <v>4.1904148563326016E-4</v>
      </c>
      <c r="BF163" s="29">
        <f t="shared" si="63"/>
        <v>4.1241237566842982E-2</v>
      </c>
      <c r="BH163" s="29"/>
    </row>
    <row r="164" spans="1:60" x14ac:dyDescent="0.25">
      <c r="A164" s="1">
        <v>46260</v>
      </c>
      <c r="B164" s="33">
        <v>58.26</v>
      </c>
      <c r="C164" s="33">
        <v>137.55000000000001</v>
      </c>
      <c r="D164" s="15">
        <v>-8.5785370277611898E-4</v>
      </c>
      <c r="E164" s="15">
        <v>-5.8143762085744995E-4</v>
      </c>
      <c r="F164" s="33">
        <v>0</v>
      </c>
      <c r="G164" s="33">
        <v>0.43857000000000002</v>
      </c>
      <c r="H164" s="33">
        <v>0</v>
      </c>
      <c r="I164" s="33">
        <v>0.95661499999999999</v>
      </c>
      <c r="J164" s="33">
        <v>0</v>
      </c>
      <c r="K164" s="33">
        <v>0</v>
      </c>
      <c r="L164" s="33">
        <v>58.26</v>
      </c>
      <c r="M164" s="33">
        <v>137.55000000000001</v>
      </c>
      <c r="N164" s="34">
        <v>2.3609680741503598</v>
      </c>
      <c r="O164" s="34">
        <v>2.3814540004427101</v>
      </c>
      <c r="P164" s="34">
        <v>2.3692677942918401</v>
      </c>
      <c r="Q164" s="34">
        <v>2.3700915732542498</v>
      </c>
      <c r="R164" s="33">
        <v>138.74351006579201</v>
      </c>
      <c r="S164" s="33">
        <v>138.13339735842601</v>
      </c>
      <c r="T164" s="33">
        <v>138.100053759275</v>
      </c>
      <c r="U164" s="15">
        <v>8.6394898614147193E-3</v>
      </c>
      <c r="V164" s="15">
        <v>4.2323784085945403E-3</v>
      </c>
      <c r="W164" s="15">
        <v>3.9909623224655003E-3</v>
      </c>
      <c r="X164" s="34">
        <v>2.3609680741503598</v>
      </c>
      <c r="Y164" s="34">
        <v>2.38188334875188</v>
      </c>
      <c r="Z164" s="34">
        <v>2.3692677942918401</v>
      </c>
      <c r="AA164" s="34">
        <v>2.3700915732542498</v>
      </c>
      <c r="AB164" s="33">
        <v>138.768523898284</v>
      </c>
      <c r="AC164" s="33">
        <v>138.13339735842601</v>
      </c>
      <c r="AD164" s="33">
        <v>138.100053759275</v>
      </c>
      <c r="AE164" s="15">
        <v>8.8197619181085603E-3</v>
      </c>
      <c r="AF164" s="15">
        <v>4.2323784085945403E-3</v>
      </c>
      <c r="AG164" s="15">
        <v>3.9909623224655003E-3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1.812967343275599E-2</v>
      </c>
      <c r="AT164" s="12"/>
      <c r="AU164">
        <f t="shared" si="50"/>
        <v>0</v>
      </c>
      <c r="AV164">
        <f t="shared" si="51"/>
        <v>0</v>
      </c>
      <c r="AW164">
        <f t="shared" si="58"/>
        <v>1</v>
      </c>
      <c r="AX164">
        <f t="shared" si="45"/>
        <v>1</v>
      </c>
      <c r="AY164">
        <f t="shared" si="59"/>
        <v>1</v>
      </c>
      <c r="AZ164" s="28">
        <f t="shared" si="52"/>
        <v>8.5785370277611898E-4</v>
      </c>
      <c r="BA164" s="28">
        <f t="shared" si="53"/>
        <v>-5.8143762085744995E-4</v>
      </c>
      <c r="BB164" s="28">
        <f t="shared" si="60"/>
        <v>2.7641608191866904E-4</v>
      </c>
      <c r="BC164" s="29">
        <f t="shared" si="61"/>
        <v>2.3387980216005667E-2</v>
      </c>
      <c r="BE164" s="29">
        <f t="shared" si="62"/>
        <v>2.7641608191866904E-4</v>
      </c>
      <c r="BF164" s="29">
        <f t="shared" si="63"/>
        <v>4.151765364876165E-2</v>
      </c>
      <c r="BH164" s="29"/>
    </row>
    <row r="165" spans="1:60" x14ac:dyDescent="0.25">
      <c r="A165" s="1">
        <v>46261</v>
      </c>
      <c r="B165" s="33">
        <v>57.88</v>
      </c>
      <c r="C165" s="33">
        <v>136.88</v>
      </c>
      <c r="D165" s="15">
        <v>-6.5438497680053503E-3</v>
      </c>
      <c r="E165" s="15">
        <v>-4.8828577866456202E-3</v>
      </c>
      <c r="F165" s="33">
        <v>0</v>
      </c>
      <c r="G165" s="33">
        <v>0.43857000000000002</v>
      </c>
      <c r="H165" s="33">
        <v>0</v>
      </c>
      <c r="I165" s="33">
        <v>0.95661499999999999</v>
      </c>
      <c r="J165" s="33">
        <v>0</v>
      </c>
      <c r="K165" s="33">
        <v>0</v>
      </c>
      <c r="L165" s="33">
        <v>57.88</v>
      </c>
      <c r="M165" s="33">
        <v>136.88</v>
      </c>
      <c r="N165" s="34">
        <v>2.3648928818244599</v>
      </c>
      <c r="O165" s="34">
        <v>2.3814540004427101</v>
      </c>
      <c r="P165" s="34">
        <v>2.3680124892714098</v>
      </c>
      <c r="Q165" s="34">
        <v>2.3701169190998601</v>
      </c>
      <c r="R165" s="33">
        <v>137.83855754562401</v>
      </c>
      <c r="S165" s="33">
        <v>137.133219933612</v>
      </c>
      <c r="T165" s="33">
        <v>137.18090025995599</v>
      </c>
      <c r="U165" s="15">
        <v>6.9784978800549501E-3</v>
      </c>
      <c r="V165" s="15">
        <v>1.84823203607438E-3</v>
      </c>
      <c r="W165" s="15">
        <v>2.1958650838430202E-3</v>
      </c>
      <c r="X165" s="34">
        <v>2.3648928818244599</v>
      </c>
      <c r="Y165" s="34">
        <v>2.38188334875188</v>
      </c>
      <c r="Z165" s="34">
        <v>2.3680124892714098</v>
      </c>
      <c r="AA165" s="34">
        <v>2.3701169190998601</v>
      </c>
      <c r="AB165" s="33">
        <v>137.863408225759</v>
      </c>
      <c r="AC165" s="33">
        <v>137.133219933612</v>
      </c>
      <c r="AD165" s="33">
        <v>137.18090025995599</v>
      </c>
      <c r="AE165" s="15">
        <v>7.1587699367487503E-3</v>
      </c>
      <c r="AF165" s="15">
        <v>1.84823203607438E-3</v>
      </c>
      <c r="AG165" s="15">
        <v>2.19586508384324E-3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1.812967343275599E-2</v>
      </c>
      <c r="AT165" s="12"/>
      <c r="AU165">
        <f t="shared" si="50"/>
        <v>0</v>
      </c>
      <c r="AV165">
        <f t="shared" si="51"/>
        <v>0</v>
      </c>
      <c r="AW165">
        <f t="shared" si="58"/>
        <v>1</v>
      </c>
      <c r="AX165">
        <f t="shared" si="45"/>
        <v>1</v>
      </c>
      <c r="AY165">
        <f t="shared" si="59"/>
        <v>1</v>
      </c>
      <c r="AZ165" s="28">
        <f t="shared" si="52"/>
        <v>6.5438497680053503E-3</v>
      </c>
      <c r="BA165" s="28">
        <f t="shared" si="53"/>
        <v>-4.8828577866456202E-3</v>
      </c>
      <c r="BB165" s="28">
        <f t="shared" si="60"/>
        <v>1.6609919813597301E-3</v>
      </c>
      <c r="BC165" s="29">
        <f t="shared" si="61"/>
        <v>2.5048972197365398E-2</v>
      </c>
      <c r="BE165" s="29">
        <f t="shared" si="62"/>
        <v>1.6609919813597301E-3</v>
      </c>
      <c r="BF165" s="29">
        <f t="shared" si="63"/>
        <v>4.317864563012138E-2</v>
      </c>
      <c r="BH165" s="29"/>
    </row>
    <row r="166" spans="1:60" x14ac:dyDescent="0.25">
      <c r="A166" s="1">
        <v>46262</v>
      </c>
      <c r="B166" s="33">
        <v>58.1</v>
      </c>
      <c r="C166" s="33">
        <v>137.34</v>
      </c>
      <c r="D166" s="15">
        <v>3.7937620945823099E-3</v>
      </c>
      <c r="E166" s="15">
        <v>3.3549736085923699E-3</v>
      </c>
      <c r="F166" s="33">
        <v>0</v>
      </c>
      <c r="G166" s="33">
        <v>0.43857000000000002</v>
      </c>
      <c r="H166" s="33">
        <v>0</v>
      </c>
      <c r="I166" s="33">
        <v>0.95661499999999999</v>
      </c>
      <c r="J166" s="33">
        <v>0</v>
      </c>
      <c r="K166" s="33">
        <v>0</v>
      </c>
      <c r="L166" s="33">
        <v>58.1</v>
      </c>
      <c r="M166" s="33">
        <v>137.34</v>
      </c>
      <c r="N166" s="34">
        <v>2.3638554216867398</v>
      </c>
      <c r="O166" s="34">
        <v>2.3814540004427101</v>
      </c>
      <c r="P166" s="34">
        <v>2.36662292827639</v>
      </c>
      <c r="Q166" s="34">
        <v>2.3700711935210399</v>
      </c>
      <c r="R166" s="33">
        <v>138.36247742572101</v>
      </c>
      <c r="S166" s="33">
        <v>137.581525626668</v>
      </c>
      <c r="T166" s="33">
        <v>137.70379299970199</v>
      </c>
      <c r="U166" s="15">
        <v>7.4172863660450098E-3</v>
      </c>
      <c r="V166" s="15">
        <v>1.7570518587478E-3</v>
      </c>
      <c r="W166" s="15">
        <v>2.6453475490749601E-3</v>
      </c>
      <c r="X166" s="34">
        <v>2.3638554216867398</v>
      </c>
      <c r="Y166" s="34">
        <v>2.38188334875188</v>
      </c>
      <c r="Z166" s="34">
        <v>2.36662292827639</v>
      </c>
      <c r="AA166" s="34">
        <v>2.3700711935210399</v>
      </c>
      <c r="AB166" s="33">
        <v>138.38742256248401</v>
      </c>
      <c r="AC166" s="33">
        <v>137.581525626668</v>
      </c>
      <c r="AD166" s="33">
        <v>137.70379299970199</v>
      </c>
      <c r="AE166" s="15">
        <v>7.5975584227388699E-3</v>
      </c>
      <c r="AF166" s="15">
        <v>1.7570518587478E-3</v>
      </c>
      <c r="AG166" s="15">
        <v>2.6453475490749601E-3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1.812967343275599E-2</v>
      </c>
      <c r="AT166" s="12"/>
      <c r="AU166">
        <f t="shared" si="50"/>
        <v>0</v>
      </c>
      <c r="AV166">
        <f t="shared" si="51"/>
        <v>0</v>
      </c>
      <c r="AW166">
        <f t="shared" si="58"/>
        <v>1</v>
      </c>
      <c r="AX166">
        <f t="shared" si="45"/>
        <v>1</v>
      </c>
      <c r="AY166">
        <f t="shared" si="59"/>
        <v>1</v>
      </c>
      <c r="AZ166" s="28">
        <f t="shared" si="52"/>
        <v>-3.7937620945823099E-3</v>
      </c>
      <c r="BA166" s="28">
        <f t="shared" si="53"/>
        <v>3.3549736085923699E-3</v>
      </c>
      <c r="BB166" s="28">
        <f t="shared" si="60"/>
        <v>-4.3878848598993998E-4</v>
      </c>
      <c r="BC166" s="29">
        <f t="shared" si="61"/>
        <v>2.4610183711375459E-2</v>
      </c>
      <c r="BE166" s="29">
        <f t="shared" si="62"/>
        <v>-4.3878848598993998E-4</v>
      </c>
      <c r="BF166" s="29">
        <f t="shared" si="63"/>
        <v>4.2739857144131442E-2</v>
      </c>
      <c r="BH166" s="29"/>
    </row>
    <row r="167" spans="1:60" x14ac:dyDescent="0.25">
      <c r="A167" s="1">
        <v>46265</v>
      </c>
      <c r="B167" s="33">
        <v>57.71</v>
      </c>
      <c r="C167" s="33">
        <v>136.47</v>
      </c>
      <c r="D167" s="15">
        <v>-6.7351951349905502E-3</v>
      </c>
      <c r="E167" s="15">
        <v>-6.3547929425079898E-3</v>
      </c>
      <c r="F167" s="33">
        <v>0</v>
      </c>
      <c r="G167" s="33">
        <v>0.43857000000000002</v>
      </c>
      <c r="H167" s="33">
        <v>0</v>
      </c>
      <c r="I167" s="33">
        <v>0.95661499999999999</v>
      </c>
      <c r="J167" s="33">
        <v>0</v>
      </c>
      <c r="K167" s="33">
        <v>0</v>
      </c>
      <c r="L167" s="33">
        <v>57.71</v>
      </c>
      <c r="M167" s="33">
        <v>136.47</v>
      </c>
      <c r="N167" s="34">
        <v>2.36475480852538</v>
      </c>
      <c r="O167" s="34">
        <v>2.3814540004427101</v>
      </c>
      <c r="P167" s="34">
        <v>2.36515120523869</v>
      </c>
      <c r="Q167" s="34">
        <v>2.3698704536405901</v>
      </c>
      <c r="R167" s="33">
        <v>137.43371036554899</v>
      </c>
      <c r="S167" s="33">
        <v>136.57780919083001</v>
      </c>
      <c r="T167" s="33">
        <v>136.77680857809901</v>
      </c>
      <c r="U167" s="15">
        <v>7.0368841735623704E-3</v>
      </c>
      <c r="V167" s="15">
        <v>7.8967267126423902E-4</v>
      </c>
      <c r="W167" s="15">
        <v>2.2456526290753E-3</v>
      </c>
      <c r="X167" s="34">
        <v>2.36475480852538</v>
      </c>
      <c r="Y167" s="34">
        <v>2.38188334875188</v>
      </c>
      <c r="Z167" s="34">
        <v>2.36515120523869</v>
      </c>
      <c r="AA167" s="34">
        <v>2.3698704536405901</v>
      </c>
      <c r="AB167" s="33">
        <v>137.458488056471</v>
      </c>
      <c r="AC167" s="33">
        <v>136.57780919083001</v>
      </c>
      <c r="AD167" s="33">
        <v>136.77680857809901</v>
      </c>
      <c r="AE167" s="15">
        <v>7.2171562302563797E-3</v>
      </c>
      <c r="AF167" s="15">
        <v>7.8967267126446095E-4</v>
      </c>
      <c r="AG167" s="15">
        <v>2.2456526290753E-3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1.812967343275599E-2</v>
      </c>
      <c r="AT167" s="12"/>
      <c r="AU167">
        <f t="shared" si="50"/>
        <v>0</v>
      </c>
      <c r="AV167">
        <f t="shared" si="51"/>
        <v>0</v>
      </c>
      <c r="AW167">
        <f t="shared" si="58"/>
        <v>1</v>
      </c>
      <c r="AX167">
        <f t="shared" si="45"/>
        <v>1</v>
      </c>
      <c r="AY167">
        <f t="shared" si="59"/>
        <v>1</v>
      </c>
      <c r="AZ167" s="28">
        <f t="shared" si="52"/>
        <v>6.7351951349905502E-3</v>
      </c>
      <c r="BA167" s="28">
        <f t="shared" si="53"/>
        <v>-6.3547929425079898E-3</v>
      </c>
      <c r="BB167" s="28">
        <f t="shared" si="60"/>
        <v>3.8040219248256044E-4</v>
      </c>
      <c r="BC167" s="29">
        <f t="shared" si="61"/>
        <v>2.4990585903858019E-2</v>
      </c>
      <c r="BE167" s="29">
        <f t="shared" si="62"/>
        <v>3.8040219248256044E-4</v>
      </c>
      <c r="BF167" s="29">
        <f t="shared" si="63"/>
        <v>4.3120259336614002E-2</v>
      </c>
      <c r="BH167" s="29"/>
    </row>
    <row r="168" spans="1:60" x14ac:dyDescent="0.25">
      <c r="A168" s="1">
        <v>46266</v>
      </c>
      <c r="B168" s="33">
        <v>57.2</v>
      </c>
      <c r="C168" s="33">
        <v>135.4</v>
      </c>
      <c r="D168" s="15">
        <v>-8.8765703371228195E-3</v>
      </c>
      <c r="E168" s="15">
        <v>-7.8714497718477498E-3</v>
      </c>
      <c r="F168" s="33">
        <v>0</v>
      </c>
      <c r="G168" s="33">
        <v>0.43857000000000002</v>
      </c>
      <c r="H168" s="33">
        <v>0</v>
      </c>
      <c r="I168" s="33">
        <v>0.95661499999999999</v>
      </c>
      <c r="J168" s="33">
        <v>0</v>
      </c>
      <c r="K168" s="33">
        <v>0</v>
      </c>
      <c r="L168" s="33">
        <v>57.2</v>
      </c>
      <c r="M168" s="33">
        <v>135.4</v>
      </c>
      <c r="N168" s="34">
        <v>2.36713286713286</v>
      </c>
      <c r="O168" s="34">
        <v>2.3814540004427101</v>
      </c>
      <c r="P168" s="34">
        <v>2.3646929843447899</v>
      </c>
      <c r="Q168" s="34">
        <v>2.3698096816551399</v>
      </c>
      <c r="R168" s="33">
        <v>136.21916882532301</v>
      </c>
      <c r="S168" s="33">
        <v>135.28664893965299</v>
      </c>
      <c r="T168" s="33">
        <v>135.556589948241</v>
      </c>
      <c r="U168" s="15">
        <v>6.0317636082873596E-3</v>
      </c>
      <c r="V168" s="15">
        <v>-8.3750763043598296E-4</v>
      </c>
      <c r="W168" s="15">
        <v>1.15583064951251E-3</v>
      </c>
      <c r="X168" s="34">
        <v>2.36713286713286</v>
      </c>
      <c r="Y168" s="34">
        <v>2.38188334875188</v>
      </c>
      <c r="Z168" s="34">
        <v>2.3646929843447899</v>
      </c>
      <c r="AA168" s="34">
        <v>2.3698096816551399</v>
      </c>
      <c r="AB168" s="33">
        <v>136.24372754860701</v>
      </c>
      <c r="AC168" s="33">
        <v>135.28664893965299</v>
      </c>
      <c r="AD168" s="33">
        <v>135.556589948241</v>
      </c>
      <c r="AE168" s="15">
        <v>6.2120356649811598E-3</v>
      </c>
      <c r="AF168" s="15">
        <v>-8.3750763043620501E-4</v>
      </c>
      <c r="AG168" s="15">
        <v>1.15583064951251E-3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1.812967343275599E-2</v>
      </c>
      <c r="AT168" s="12"/>
      <c r="AU168">
        <f t="shared" si="50"/>
        <v>0</v>
      </c>
      <c r="AV168">
        <f t="shared" si="51"/>
        <v>1</v>
      </c>
      <c r="AW168">
        <f t="shared" si="58"/>
        <v>1</v>
      </c>
      <c r="AX168">
        <f t="shared" si="45"/>
        <v>1</v>
      </c>
      <c r="AY168">
        <f t="shared" si="59"/>
        <v>1</v>
      </c>
      <c r="AZ168" s="28">
        <f t="shared" si="52"/>
        <v>8.8765703371228195E-3</v>
      </c>
      <c r="BA168" s="28">
        <f t="shared" si="53"/>
        <v>-7.8714497718477498E-3</v>
      </c>
      <c r="BB168" s="28">
        <f t="shared" si="60"/>
        <v>1.0051205652750698E-3</v>
      </c>
      <c r="BC168" s="29">
        <f t="shared" si="61"/>
        <v>2.5995706469133087E-2</v>
      </c>
      <c r="BE168" s="29">
        <f t="shared" si="62"/>
        <v>1.0051205652750698E-3</v>
      </c>
      <c r="BF168" s="29">
        <f t="shared" si="63"/>
        <v>4.412537990188907E-2</v>
      </c>
      <c r="BH168" s="29"/>
    </row>
    <row r="169" spans="1:60" x14ac:dyDescent="0.25">
      <c r="A169" s="1">
        <v>46267</v>
      </c>
      <c r="B169" s="33">
        <v>57.66</v>
      </c>
      <c r="C169" s="33">
        <v>136.27000000000001</v>
      </c>
      <c r="D169" s="15">
        <v>8.0097938245038205E-3</v>
      </c>
      <c r="E169" s="15">
        <v>6.4048512835547704E-3</v>
      </c>
      <c r="F169" s="33">
        <v>0</v>
      </c>
      <c r="G169" s="33">
        <v>0.43857000000000002</v>
      </c>
      <c r="H169" s="33">
        <v>0</v>
      </c>
      <c r="I169" s="33">
        <v>0.95661499999999999</v>
      </c>
      <c r="J169" s="33">
        <v>0</v>
      </c>
      <c r="K169" s="33">
        <v>0</v>
      </c>
      <c r="L169" s="33">
        <v>57.66</v>
      </c>
      <c r="M169" s="33">
        <v>136.27000000000001</v>
      </c>
      <c r="N169" s="34">
        <v>2.3633368019424199</v>
      </c>
      <c r="O169" s="34">
        <v>2.3814540004427101</v>
      </c>
      <c r="P169" s="34">
        <v>2.3640746812404898</v>
      </c>
      <c r="Q169" s="34">
        <v>2.3694851424419201</v>
      </c>
      <c r="R169" s="33">
        <v>137.31463766552599</v>
      </c>
      <c r="S169" s="33">
        <v>136.34819747732001</v>
      </c>
      <c r="T169" s="33">
        <v>136.643226244235</v>
      </c>
      <c r="U169" s="15">
        <v>7.6367061492362102E-3</v>
      </c>
      <c r="V169" s="15">
        <v>5.7367762085510103E-4</v>
      </c>
      <c r="W169" s="15">
        <v>2.7351292720061001E-3</v>
      </c>
      <c r="X169" s="34">
        <v>2.3633368019424199</v>
      </c>
      <c r="Y169" s="34">
        <v>2.38188334875188</v>
      </c>
      <c r="Z169" s="34">
        <v>2.3640746812404898</v>
      </c>
      <c r="AA169" s="34">
        <v>2.3694851424419201</v>
      </c>
      <c r="AB169" s="33">
        <v>137.339393889033</v>
      </c>
      <c r="AC169" s="33">
        <v>136.34819747732001</v>
      </c>
      <c r="AD169" s="33">
        <v>136.643226244235</v>
      </c>
      <c r="AE169" s="15">
        <v>7.8169782059300998E-3</v>
      </c>
      <c r="AF169" s="15">
        <v>5.7367762085487899E-4</v>
      </c>
      <c r="AG169" s="15">
        <v>2.7351292720061001E-3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1.812967343275599E-2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2.5995706469133087E-2</v>
      </c>
      <c r="BE169" s="29">
        <f t="shared" si="62"/>
        <v>0</v>
      </c>
      <c r="BF169" s="29">
        <f t="shared" si="63"/>
        <v>4.412537990188907E-2</v>
      </c>
      <c r="BH169" s="29"/>
    </row>
    <row r="170" spans="1:60" x14ac:dyDescent="0.25">
      <c r="A170" s="1">
        <v>46268</v>
      </c>
      <c r="B170" s="33">
        <v>58.56</v>
      </c>
      <c r="C170" s="33">
        <v>138.94</v>
      </c>
      <c r="D170" s="15">
        <v>1.5488177442800099E-2</v>
      </c>
      <c r="E170" s="15">
        <v>1.9403973503005299E-2</v>
      </c>
      <c r="F170" s="33">
        <v>0</v>
      </c>
      <c r="G170" s="33">
        <v>0.43857000000000002</v>
      </c>
      <c r="H170" s="33">
        <v>0</v>
      </c>
      <c r="I170" s="33">
        <v>0.95661499999999999</v>
      </c>
      <c r="J170" s="33">
        <v>0</v>
      </c>
      <c r="K170" s="33">
        <v>0</v>
      </c>
      <c r="L170" s="33">
        <v>58.56</v>
      </c>
      <c r="M170" s="33">
        <v>138.94</v>
      </c>
      <c r="N170" s="34">
        <v>2.37260928961748</v>
      </c>
      <c r="O170" s="34">
        <v>2.3814540004427101</v>
      </c>
      <c r="P170" s="34">
        <v>2.3646016330292801</v>
      </c>
      <c r="Q170" s="34">
        <v>2.3697969769279799</v>
      </c>
      <c r="R170" s="33">
        <v>139.45794626592499</v>
      </c>
      <c r="S170" s="33">
        <v>138.44021333344301</v>
      </c>
      <c r="T170" s="33">
        <v>138.757049941399</v>
      </c>
      <c r="U170" s="15">
        <v>3.7209100890310499E-3</v>
      </c>
      <c r="V170" s="15">
        <v>-3.6036255175344901E-3</v>
      </c>
      <c r="W170" s="15">
        <v>-1.3176235405331E-3</v>
      </c>
      <c r="X170" s="34">
        <v>2.37260928961748</v>
      </c>
      <c r="Y170" s="34">
        <v>2.38188334875188</v>
      </c>
      <c r="Z170" s="34">
        <v>2.3646016330292801</v>
      </c>
      <c r="AA170" s="34">
        <v>2.3697969769279799</v>
      </c>
      <c r="AB170" s="33">
        <v>139.48308890291</v>
      </c>
      <c r="AC170" s="33">
        <v>138.44021333344301</v>
      </c>
      <c r="AD170" s="33">
        <v>138.757049941399</v>
      </c>
      <c r="AE170" s="15">
        <v>3.9011821457249399E-3</v>
      </c>
      <c r="AF170" s="15">
        <v>-3.6036255175344901E-3</v>
      </c>
      <c r="AG170" s="15">
        <v>-1.3176235405331E-3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1.812967343275599E-2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2.5995706469133087E-2</v>
      </c>
      <c r="BE170" s="29">
        <f t="shared" si="62"/>
        <v>0</v>
      </c>
      <c r="BF170" s="29">
        <f t="shared" si="63"/>
        <v>4.412537990188907E-2</v>
      </c>
      <c r="BH170" s="29"/>
    </row>
    <row r="171" spans="1:60" x14ac:dyDescent="0.25">
      <c r="A171" s="1">
        <v>46269</v>
      </c>
      <c r="B171" s="33">
        <v>58.1</v>
      </c>
      <c r="C171" s="33">
        <v>138.02000000000001</v>
      </c>
      <c r="D171" s="15">
        <v>-7.8862057951906202E-3</v>
      </c>
      <c r="E171" s="15">
        <v>-6.6435830722790098E-3</v>
      </c>
      <c r="F171" s="33">
        <v>0</v>
      </c>
      <c r="G171" s="33">
        <v>0.43857000000000002</v>
      </c>
      <c r="H171" s="33">
        <v>0</v>
      </c>
      <c r="I171" s="33">
        <v>0.95661499999999999</v>
      </c>
      <c r="J171" s="33">
        <v>0</v>
      </c>
      <c r="K171" s="33">
        <v>0</v>
      </c>
      <c r="L171" s="33">
        <v>58.1</v>
      </c>
      <c r="M171" s="33">
        <v>138.02000000000001</v>
      </c>
      <c r="N171" s="34">
        <v>2.3755593803786499</v>
      </c>
      <c r="O171" s="34">
        <v>2.3814540004427101</v>
      </c>
      <c r="P171" s="34">
        <v>2.3652751771910201</v>
      </c>
      <c r="Q171" s="34">
        <v>2.3697728626135799</v>
      </c>
      <c r="R171" s="33">
        <v>138.36247742572101</v>
      </c>
      <c r="S171" s="33">
        <v>137.38335487900099</v>
      </c>
      <c r="T171" s="33">
        <v>137.68520435951601</v>
      </c>
      <c r="U171" s="15">
        <v>2.4782873661194698E-3</v>
      </c>
      <c r="V171" s="15">
        <v>-4.6233732725060699E-3</v>
      </c>
      <c r="W171" s="15">
        <v>-2.4286506003635298E-3</v>
      </c>
      <c r="X171" s="34">
        <v>2.3755593803786499</v>
      </c>
      <c r="Y171" s="34">
        <v>2.38188334875188</v>
      </c>
      <c r="Z171" s="34">
        <v>2.3652751771910201</v>
      </c>
      <c r="AA171" s="34">
        <v>2.3697728626135799</v>
      </c>
      <c r="AB171" s="33">
        <v>138.38742256248401</v>
      </c>
      <c r="AC171" s="33">
        <v>137.38335487900099</v>
      </c>
      <c r="AD171" s="33">
        <v>137.68520435951601</v>
      </c>
      <c r="AE171" s="15">
        <v>2.65855942281346E-3</v>
      </c>
      <c r="AF171" s="15">
        <v>-4.6233732725060699E-3</v>
      </c>
      <c r="AG171" s="15">
        <v>-2.4286506003635298E-3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1.812967343275599E-2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2.5995706469133087E-2</v>
      </c>
      <c r="BE171" s="29">
        <f t="shared" si="62"/>
        <v>0</v>
      </c>
      <c r="BF171" s="29">
        <f t="shared" si="63"/>
        <v>4.412537990188907E-2</v>
      </c>
      <c r="BH171" s="29"/>
    </row>
    <row r="172" spans="1:60" x14ac:dyDescent="0.25">
      <c r="A172" s="1">
        <v>46273</v>
      </c>
      <c r="B172" s="33">
        <v>57.3</v>
      </c>
      <c r="C172" s="33">
        <v>136.07</v>
      </c>
      <c r="D172" s="15">
        <v>-1.38650401371717E-2</v>
      </c>
      <c r="E172" s="15">
        <v>-1.42291429896888E-2</v>
      </c>
      <c r="F172" s="33">
        <v>0</v>
      </c>
      <c r="G172" s="33">
        <v>0.43857000000000002</v>
      </c>
      <c r="H172" s="33">
        <v>0</v>
      </c>
      <c r="I172" s="33">
        <v>0.95661499999999999</v>
      </c>
      <c r="J172" s="33">
        <v>0</v>
      </c>
      <c r="K172" s="33">
        <v>0</v>
      </c>
      <c r="L172" s="33">
        <v>57.3</v>
      </c>
      <c r="M172" s="33">
        <v>136.07</v>
      </c>
      <c r="N172" s="34">
        <v>2.37469458987783</v>
      </c>
      <c r="O172" s="34">
        <v>2.3814540004427101</v>
      </c>
      <c r="P172" s="34">
        <v>2.3668119669929499</v>
      </c>
      <c r="Q172" s="34">
        <v>2.36971326586634</v>
      </c>
      <c r="R172" s="33">
        <v>136.45731422536701</v>
      </c>
      <c r="S172" s="33">
        <v>135.530267653045</v>
      </c>
      <c r="T172" s="33">
        <v>135.787985027758</v>
      </c>
      <c r="U172" s="15">
        <v>2.8423902186364802E-3</v>
      </c>
      <c r="V172" s="15">
        <v>-3.9744663148028204E-3</v>
      </c>
      <c r="W172" s="15">
        <v>-2.07472348750945E-3</v>
      </c>
      <c r="X172" s="34">
        <v>2.37469458987783</v>
      </c>
      <c r="Y172" s="34">
        <v>2.38188334875188</v>
      </c>
      <c r="Z172" s="34">
        <v>2.3668119669929499</v>
      </c>
      <c r="AA172" s="34">
        <v>2.36971326586634</v>
      </c>
      <c r="AB172" s="33">
        <v>136.481915883483</v>
      </c>
      <c r="AC172" s="33">
        <v>135.530267653045</v>
      </c>
      <c r="AD172" s="33">
        <v>135.787985027758</v>
      </c>
      <c r="AE172" s="15">
        <v>3.02266227533062E-3</v>
      </c>
      <c r="AF172" s="15">
        <v>-3.9744663148028204E-3</v>
      </c>
      <c r="AG172" s="15">
        <v>-2.0747234875092202E-3</v>
      </c>
      <c r="AI172" s="12"/>
      <c r="AJ172">
        <f t="shared" si="46"/>
        <v>0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1.812967343275599E-2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2.5995706469133087E-2</v>
      </c>
      <c r="BE172" s="29">
        <f t="shared" si="62"/>
        <v>0</v>
      </c>
      <c r="BF172" s="29">
        <f t="shared" si="63"/>
        <v>4.412537990188907E-2</v>
      </c>
      <c r="BH172" s="29"/>
    </row>
    <row r="173" spans="1:60" x14ac:dyDescent="0.25">
      <c r="A173" s="1">
        <v>46274</v>
      </c>
      <c r="B173" s="33">
        <v>57.06</v>
      </c>
      <c r="C173" s="33">
        <v>135.38</v>
      </c>
      <c r="D173" s="15">
        <v>-4.1972779353398101E-3</v>
      </c>
      <c r="E173" s="15">
        <v>-5.0838201223055096E-3</v>
      </c>
      <c r="F173" s="33">
        <v>0</v>
      </c>
      <c r="G173" s="33">
        <v>0.43857000000000002</v>
      </c>
      <c r="H173" s="33">
        <v>0</v>
      </c>
      <c r="I173" s="33">
        <v>0.95661499999999999</v>
      </c>
      <c r="J173" s="33">
        <v>0</v>
      </c>
      <c r="K173" s="33">
        <v>0</v>
      </c>
      <c r="L173" s="33">
        <v>57.06</v>
      </c>
      <c r="M173" s="33">
        <v>135.38</v>
      </c>
      <c r="N173" s="34">
        <v>2.3725902558710099</v>
      </c>
      <c r="O173" s="34">
        <v>2.3814540004427101</v>
      </c>
      <c r="P173" s="34">
        <v>2.3680394371007201</v>
      </c>
      <c r="Q173" s="34">
        <v>2.3695105987290899</v>
      </c>
      <c r="R173" s="33">
        <v>135.885765265261</v>
      </c>
      <c r="S173" s="33">
        <v>135.05029083661799</v>
      </c>
      <c r="T173" s="33">
        <v>135.21583895033299</v>
      </c>
      <c r="U173" s="15">
        <v>3.7289324056021598E-3</v>
      </c>
      <c r="V173" s="15">
        <v>-2.4384052964465598E-3</v>
      </c>
      <c r="W173" s="15">
        <v>-1.2133303338484199E-3</v>
      </c>
      <c r="X173" s="34">
        <v>2.3725902558710099</v>
      </c>
      <c r="Y173" s="34">
        <v>2.38188334875188</v>
      </c>
      <c r="Z173" s="34">
        <v>2.3680394371007201</v>
      </c>
      <c r="AA173" s="34">
        <v>2.3695105987290899</v>
      </c>
      <c r="AB173" s="33">
        <v>135.91026387978201</v>
      </c>
      <c r="AC173" s="33">
        <v>135.05029083661799</v>
      </c>
      <c r="AD173" s="33">
        <v>135.21583895033299</v>
      </c>
      <c r="AE173" s="15">
        <v>3.9092044622960802E-3</v>
      </c>
      <c r="AF173" s="15">
        <v>-2.4384052964465598E-3</v>
      </c>
      <c r="AG173" s="15">
        <v>-1.2133303338484199E-3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1.812967343275599E-2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2.5995706469133087E-2</v>
      </c>
      <c r="BE173" s="29">
        <f t="shared" si="62"/>
        <v>0</v>
      </c>
      <c r="BF173" s="29">
        <f t="shared" si="63"/>
        <v>4.412537990188907E-2</v>
      </c>
      <c r="BH173" s="29"/>
    </row>
    <row r="174" spans="1:60" x14ac:dyDescent="0.25">
      <c r="A174" s="1">
        <v>46275</v>
      </c>
      <c r="B174" s="33">
        <v>56.87</v>
      </c>
      <c r="C174" s="33">
        <v>134.91</v>
      </c>
      <c r="D174" s="15">
        <v>-3.3353844666456798E-3</v>
      </c>
      <c r="E174" s="15">
        <v>-3.4777496297358798E-3</v>
      </c>
      <c r="F174" s="33">
        <v>0</v>
      </c>
      <c r="G174" s="33">
        <v>0.43857000000000002</v>
      </c>
      <c r="H174" s="33">
        <v>0</v>
      </c>
      <c r="I174" s="33">
        <v>0.95661499999999999</v>
      </c>
      <c r="J174" s="33">
        <v>0</v>
      </c>
      <c r="K174" s="33">
        <v>0</v>
      </c>
      <c r="L174" s="33">
        <v>56.87</v>
      </c>
      <c r="M174" s="33">
        <v>134.91</v>
      </c>
      <c r="N174" s="34">
        <v>2.3722525057147799</v>
      </c>
      <c r="O174" s="34">
        <v>2.3814540004427101</v>
      </c>
      <c r="P174" s="34">
        <v>2.3691678802571601</v>
      </c>
      <c r="Q174" s="34">
        <v>2.3692178372744999</v>
      </c>
      <c r="R174" s="33">
        <v>135.43328900517699</v>
      </c>
      <c r="S174" s="33">
        <v>134.67040278791799</v>
      </c>
      <c r="T174" s="33">
        <v>134.75406774972299</v>
      </c>
      <c r="U174" s="15">
        <v>3.87129756869228E-3</v>
      </c>
      <c r="V174" s="15">
        <v>-1.7775570678887399E-3</v>
      </c>
      <c r="W174" s="15">
        <v>-1.1564927352536E-3</v>
      </c>
      <c r="X174" s="34">
        <v>2.3722525057147799</v>
      </c>
      <c r="Y174" s="34">
        <v>2.38188334875188</v>
      </c>
      <c r="Z174" s="34">
        <v>2.3691678802571601</v>
      </c>
      <c r="AA174" s="34">
        <v>2.3692178372744999</v>
      </c>
      <c r="AB174" s="33">
        <v>135.45770604351901</v>
      </c>
      <c r="AC174" s="33">
        <v>134.67040278791799</v>
      </c>
      <c r="AD174" s="33">
        <v>134.75406774972299</v>
      </c>
      <c r="AE174" s="15">
        <v>4.0515696253862702E-3</v>
      </c>
      <c r="AF174" s="15">
        <v>-1.77755706788852E-3</v>
      </c>
      <c r="AG174" s="15">
        <v>-1.1564927352536E-3</v>
      </c>
      <c r="AI174" s="12"/>
      <c r="AJ174">
        <f t="shared" si="46"/>
        <v>0</v>
      </c>
      <c r="AK174">
        <f t="shared" si="47"/>
        <v>0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1.812967343275599E-2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2.5995706469133087E-2</v>
      </c>
      <c r="BE174" s="29">
        <f t="shared" si="62"/>
        <v>0</v>
      </c>
      <c r="BF174" s="29">
        <f t="shared" si="63"/>
        <v>4.412537990188907E-2</v>
      </c>
      <c r="BH174" s="29"/>
    </row>
    <row r="175" spans="1:60" x14ac:dyDescent="0.25">
      <c r="A175" s="1">
        <v>46276</v>
      </c>
      <c r="B175" s="33">
        <v>57.25</v>
      </c>
      <c r="C175" s="33">
        <v>135.56</v>
      </c>
      <c r="D175" s="15">
        <v>6.65968111564085E-3</v>
      </c>
      <c r="E175" s="15">
        <v>4.8064572881249597E-3</v>
      </c>
      <c r="F175" s="33">
        <v>0</v>
      </c>
      <c r="G175" s="33">
        <v>0.43857000000000002</v>
      </c>
      <c r="H175" s="33">
        <v>0</v>
      </c>
      <c r="I175" s="33">
        <v>0.95661499999999999</v>
      </c>
      <c r="J175" s="33">
        <v>0</v>
      </c>
      <c r="K175" s="33">
        <v>0</v>
      </c>
      <c r="L175" s="33">
        <v>57.25</v>
      </c>
      <c r="M175" s="33">
        <v>135.56</v>
      </c>
      <c r="N175" s="34">
        <v>2.3678602620087301</v>
      </c>
      <c r="O175" s="34">
        <v>2.3814540004427101</v>
      </c>
      <c r="P175" s="34">
        <v>2.3694646182755901</v>
      </c>
      <c r="Q175" s="34">
        <v>2.3687385537735</v>
      </c>
      <c r="R175" s="33">
        <v>136.33824152534501</v>
      </c>
      <c r="S175" s="33">
        <v>135.63486114472201</v>
      </c>
      <c r="T175" s="33">
        <v>135.637721183965</v>
      </c>
      <c r="U175" s="15">
        <v>5.7245213962081702E-3</v>
      </c>
      <c r="V175" s="15">
        <v>5.5208381389131099E-4</v>
      </c>
      <c r="W175" s="15">
        <v>5.7316990536645997E-4</v>
      </c>
      <c r="X175" s="34">
        <v>2.3678602620087301</v>
      </c>
      <c r="Y175" s="34">
        <v>2.38188334875188</v>
      </c>
      <c r="Z175" s="34">
        <v>2.3694646182755901</v>
      </c>
      <c r="AA175" s="34">
        <v>2.3687385537735</v>
      </c>
      <c r="AB175" s="33">
        <v>136.362821716045</v>
      </c>
      <c r="AC175" s="33">
        <v>135.63486114472201</v>
      </c>
      <c r="AD175" s="33">
        <v>135.637721183965</v>
      </c>
      <c r="AE175" s="15">
        <v>5.9047934529020303E-3</v>
      </c>
      <c r="AF175" s="15">
        <v>5.5208381389131099E-4</v>
      </c>
      <c r="AG175" s="15">
        <v>5.7316990536645997E-4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1.812967343275599E-2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2.5995706469133087E-2</v>
      </c>
      <c r="BE175" s="29">
        <f t="shared" si="62"/>
        <v>0</v>
      </c>
      <c r="BF175" s="29">
        <f t="shared" si="63"/>
        <v>4.412537990188907E-2</v>
      </c>
      <c r="BH175" s="29"/>
    </row>
    <row r="176" spans="1:60" x14ac:dyDescent="0.25">
      <c r="A176" s="1">
        <v>46279</v>
      </c>
      <c r="B176" s="33">
        <v>57.03</v>
      </c>
      <c r="C176" s="33">
        <v>134.97999999999999</v>
      </c>
      <c r="D176" s="15">
        <v>-3.8501972659015101E-3</v>
      </c>
      <c r="E176" s="15">
        <v>-4.28772742359024E-3</v>
      </c>
      <c r="F176" s="33">
        <v>0</v>
      </c>
      <c r="G176" s="33">
        <v>0.43857000000000002</v>
      </c>
      <c r="H176" s="33">
        <v>0</v>
      </c>
      <c r="I176" s="33">
        <v>0.95661499999999999</v>
      </c>
      <c r="J176" s="33">
        <v>0</v>
      </c>
      <c r="K176" s="33">
        <v>0</v>
      </c>
      <c r="L176" s="33">
        <v>57.03</v>
      </c>
      <c r="M176" s="33">
        <v>134.97999999999999</v>
      </c>
      <c r="N176" s="34">
        <v>2.3668244783447299</v>
      </c>
      <c r="O176" s="34">
        <v>2.3814540004427101</v>
      </c>
      <c r="P176" s="34">
        <v>2.3697615239413898</v>
      </c>
      <c r="Q176" s="34">
        <v>2.3681922261088899</v>
      </c>
      <c r="R176" s="33">
        <v>135.81432164524799</v>
      </c>
      <c r="S176" s="33">
        <v>135.130567180257</v>
      </c>
      <c r="T176" s="33">
        <v>135.089159721702</v>
      </c>
      <c r="U176" s="15">
        <v>6.1620515538968901E-3</v>
      </c>
      <c r="V176" s="15">
        <v>1.11485601932557E-3</v>
      </c>
      <c r="W176" s="15">
        <v>8.0838351005939595E-4</v>
      </c>
      <c r="X176" s="34">
        <v>2.3668244783447299</v>
      </c>
      <c r="Y176" s="34">
        <v>2.38188334875188</v>
      </c>
      <c r="Z176" s="34">
        <v>2.3697615239413898</v>
      </c>
      <c r="AA176" s="34">
        <v>2.3681922261088899</v>
      </c>
      <c r="AB176" s="33">
        <v>135.83880737932</v>
      </c>
      <c r="AC176" s="33">
        <v>135.130567180257</v>
      </c>
      <c r="AD176" s="33">
        <v>135.089159721702</v>
      </c>
      <c r="AE176" s="15">
        <v>6.3423236105909801E-3</v>
      </c>
      <c r="AF176" s="15">
        <v>1.1148560193253399E-3</v>
      </c>
      <c r="AG176" s="15">
        <v>8.0838351005939595E-4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1.812967343275599E-2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2.5995706469133087E-2</v>
      </c>
      <c r="BE176" s="29">
        <f t="shared" si="62"/>
        <v>0</v>
      </c>
      <c r="BF176" s="29">
        <f t="shared" si="63"/>
        <v>4.412537990188907E-2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2026-09-21T19:32:50Z</dcterms:created>
  <dcterms:modified xsi:type="dcterms:W3CDTF">2026-09-21T19:35:04Z</dcterms:modified>
</cp:coreProperties>
</file>