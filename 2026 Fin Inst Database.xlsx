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2378BD2A-CF28-4392-9649-DF1EA2FDF27C}" xr6:coauthVersionLast="47" xr6:coauthVersionMax="47" xr10:uidLastSave="{00000000-0000-0000-0000-000000000000}"/>
  <bookViews>
    <workbookView xWindow="3030" yWindow="375" windowWidth="25140" windowHeight="14955" tabRatio="763" firstSheet="5" activeTab="5" xr2:uid="{80E421DC-2A5F-48BD-91BD-DB367A6ED94D}"/>
  </bookViews>
  <sheets>
    <sheet name="README" sheetId="31" r:id="rId1"/>
    <sheet name="Venue Tables" sheetId="34" r:id="rId2"/>
    <sheet name="Static Data Table" sheetId="1" r:id="rId3"/>
    <sheet name="Mkt Data Streaming Inputs" sheetId="35" r:id="rId4"/>
    <sheet name="BOND ETFs" sheetId="36" r:id="rId5"/>
    <sheet name="SECTOR ETFs" sheetId="3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7" l="1"/>
  <c r="M4" i="37" s="1"/>
  <c r="M5" i="37" s="1"/>
  <c r="M6" i="37" s="1"/>
  <c r="M7" i="37" s="1"/>
  <c r="M8" i="37" s="1"/>
  <c r="M9" i="37" s="1"/>
  <c r="M10" i="37" s="1"/>
  <c r="D13" i="35"/>
  <c r="D15" i="35"/>
  <c r="D5" i="35" s="1"/>
  <c r="H22" i="34"/>
  <c r="G22" i="34"/>
  <c r="F22" i="34"/>
  <c r="E22" i="34"/>
  <c r="D22" i="34"/>
  <c r="D145" i="1"/>
  <c r="Y145" i="1"/>
</calcChain>
</file>

<file path=xl/sharedStrings.xml><?xml version="1.0" encoding="utf-8"?>
<sst xmlns="http://schemas.openxmlformats.org/spreadsheetml/2006/main" count="2050" uniqueCount="432">
  <si>
    <t>comm_type</t>
  </si>
  <si>
    <t>comm_maker</t>
  </si>
  <si>
    <t>comm_taker</t>
  </si>
  <si>
    <t>future</t>
  </si>
  <si>
    <t>IBIT</t>
  </si>
  <si>
    <t>IBKR</t>
  </si>
  <si>
    <t>Coinbase</t>
  </si>
  <si>
    <t>Kraken</t>
  </si>
  <si>
    <t>flat_pct</t>
  </si>
  <si>
    <t>flat_amt</t>
  </si>
  <si>
    <t>comm_update</t>
  </si>
  <si>
    <t>my_prod_type</t>
  </si>
  <si>
    <t>ARKB</t>
  </si>
  <si>
    <t>BITB</t>
  </si>
  <si>
    <t>BRRR</t>
  </si>
  <si>
    <t>BTCW</t>
  </si>
  <si>
    <t>EZBC</t>
  </si>
  <si>
    <t>GBTC</t>
  </si>
  <si>
    <t>BTC</t>
  </si>
  <si>
    <t>Gemini</t>
  </si>
  <si>
    <t>flat_pct_with_min</t>
  </si>
  <si>
    <t>FBTC</t>
  </si>
  <si>
    <t>Deribit</t>
  </si>
  <si>
    <t>various</t>
  </si>
  <si>
    <t>none</t>
  </si>
  <si>
    <t>Binance</t>
  </si>
  <si>
    <t>Bybit</t>
  </si>
  <si>
    <t>Bitget</t>
  </si>
  <si>
    <t>OKX</t>
  </si>
  <si>
    <t>Huobi</t>
  </si>
  <si>
    <t>Bitfinex</t>
  </si>
  <si>
    <t>KuCoin</t>
  </si>
  <si>
    <t>spot</t>
  </si>
  <si>
    <t>USDT</t>
  </si>
  <si>
    <t>USD</t>
  </si>
  <si>
    <t>btcusdt</t>
  </si>
  <si>
    <t>tBTCUSD</t>
  </si>
  <si>
    <t>BTCUSDT</t>
  </si>
  <si>
    <t>BTC-USD</t>
  </si>
  <si>
    <t>BTCUSD</t>
  </si>
  <si>
    <t>BTC-USDT</t>
  </si>
  <si>
    <t>equity</t>
  </si>
  <si>
    <t>Delta</t>
  </si>
  <si>
    <t>HODL</t>
  </si>
  <si>
    <t>count</t>
  </si>
  <si>
    <t>option</t>
  </si>
  <si>
    <t>perp</t>
  </si>
  <si>
    <t>ETH</t>
  </si>
  <si>
    <t>BTC-PERP</t>
  </si>
  <si>
    <t>btcusd_perp</t>
  </si>
  <si>
    <t>BTC-USD-SWAP</t>
  </si>
  <si>
    <t>BTC-USDT-SWAP</t>
  </si>
  <si>
    <t>BTCF0:USTF0</t>
  </si>
  <si>
    <t>Bitget-Fut</t>
  </si>
  <si>
    <t>BTCUSDT_UMCBL</t>
  </si>
  <si>
    <t>BTCUSD_DMCBL</t>
  </si>
  <si>
    <t>BTCUSDT_SPBL</t>
  </si>
  <si>
    <t>BTC-PERPETUAL</t>
  </si>
  <si>
    <t>BTC-USD-Perpetual</t>
  </si>
  <si>
    <t>USD or BTC</t>
  </si>
  <si>
    <t>BTCUSDTM</t>
  </si>
  <si>
    <t>XBTUSD</t>
  </si>
  <si>
    <t>Binance-Fstream</t>
  </si>
  <si>
    <t>Binance-Dstream</t>
  </si>
  <si>
    <t>Bitfinex-Derivs</t>
  </si>
  <si>
    <t>Bitget-Derivs</t>
  </si>
  <si>
    <t>Bybit-Derivs</t>
  </si>
  <si>
    <t>Coinbase-Perps</t>
  </si>
  <si>
    <t>Delta-Derivs</t>
  </si>
  <si>
    <t>Huobi-Derivs</t>
  </si>
  <si>
    <t>Kraken-Derivs</t>
  </si>
  <si>
    <t>KuCoin-Derivs</t>
  </si>
  <si>
    <t>Binance-Opts</t>
  </si>
  <si>
    <t>Bitget-Opts</t>
  </si>
  <si>
    <t>BTC-USDC</t>
  </si>
  <si>
    <t>USDC</t>
  </si>
  <si>
    <t>FUTURE</t>
  </si>
  <si>
    <t>BIT-24APR26-CDE</t>
  </si>
  <si>
    <t>BTC PERP</t>
  </si>
  <si>
    <t>BTC-Bitfinex</t>
  </si>
  <si>
    <t>BTC-Bitget</t>
  </si>
  <si>
    <t>BTC-Bybit</t>
  </si>
  <si>
    <t>BTC-Delta</t>
  </si>
  <si>
    <t>CASH</t>
  </si>
  <si>
    <t>swap</t>
  </si>
  <si>
    <t>futures</t>
  </si>
  <si>
    <t>BTC-PERP-OKX</t>
  </si>
  <si>
    <t>-</t>
  </si>
  <si>
    <t>BTC-USDT-260327</t>
  </si>
  <si>
    <t>BTC-260327-OKX</t>
  </si>
  <si>
    <t>BTCUSDH26</t>
  </si>
  <si>
    <t>XBTUSDTM</t>
  </si>
  <si>
    <t>XBTUSDM</t>
  </si>
  <si>
    <t>XBTUSDCM</t>
  </si>
  <si>
    <t>today</t>
  </si>
  <si>
    <t>upside down</t>
  </si>
  <si>
    <t>This is designed as a database of information about crypto for use in Python scripts</t>
  </si>
  <si>
    <t>The main tabs of database information are named Bitcoin and Ethereum</t>
  </si>
  <si>
    <t>There are tabs for streaming product dumps</t>
  </si>
  <si>
    <t>Coinbase Product List</t>
  </si>
  <si>
    <t>Gemini Product List</t>
  </si>
  <si>
    <t>There are tabs for option dumps of expiry and strike for each of the ETFs</t>
  </si>
  <si>
    <t>ARKB Options</t>
  </si>
  <si>
    <t>BTC Options</t>
  </si>
  <si>
    <t>BITB Options</t>
  </si>
  <si>
    <t>BTCW Options</t>
  </si>
  <si>
    <t>BRRR Options - not available - no options listed yet</t>
  </si>
  <si>
    <t>EZBC Options</t>
  </si>
  <si>
    <t>FBTC Options</t>
  </si>
  <si>
    <t>GBTC Options</t>
  </si>
  <si>
    <t>HODL Options</t>
  </si>
  <si>
    <t>IBIT Options</t>
  </si>
  <si>
    <t>The tab titled ETF Options Summary connects to the ETF options tabs in the next line</t>
  </si>
  <si>
    <t>The main interfaces to identify active cryptos for the Python scripts are BTC and ETH</t>
  </si>
  <si>
    <t>The tabs TST and Test are available for testing new Python scripts</t>
  </si>
  <si>
    <t>BTCM6</t>
  </si>
  <si>
    <t>BTCN6</t>
  </si>
  <si>
    <t>BTCQ6</t>
  </si>
  <si>
    <t>BTCU6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</si>
  <si>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</si>
  <si>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</si>
  <si>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</si>
  <si>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</si>
  <si>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</si>
  <si>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</si>
  <si>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</si>
  <si>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</si>
  <si>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</si>
  <si>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</si>
  <si>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</si>
  <si>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</si>
  <si>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</si>
  <si>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</si>
  <si>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</si>
  <si>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</si>
  <si>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</si>
  <si>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</si>
  <si>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</si>
  <si>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</si>
  <si>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</si>
  <si>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</si>
  <si>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</si>
  <si>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NEXT</t>
  </si>
  <si>
    <t>comm_misc</t>
  </si>
  <si>
    <t>Coinbase-Derivs</t>
  </si>
  <si>
    <t>BTC-26JUN26</t>
  </si>
  <si>
    <t>Phemex</t>
  </si>
  <si>
    <t>base_currency</t>
  </si>
  <si>
    <t>BTC_USDC</t>
  </si>
  <si>
    <t>BTC_USDT</t>
  </si>
  <si>
    <t>BTC-25SEP26</t>
  </si>
  <si>
    <t>BTC-25DEC26</t>
  </si>
  <si>
    <t>BTC-26MAR27</t>
  </si>
  <si>
    <t>my_pf_name</t>
  </si>
  <si>
    <t>pf_locator</t>
  </si>
  <si>
    <t>my_fi_name</t>
  </si>
  <si>
    <t>top_currency</t>
  </si>
  <si>
    <t>Column92</t>
  </si>
  <si>
    <t>Column93</t>
  </si>
  <si>
    <t>Column94</t>
  </si>
  <si>
    <t>Column95</t>
  </si>
  <si>
    <t>import</t>
  </si>
  <si>
    <t>btcusd</t>
  </si>
  <si>
    <t>btcusdc</t>
  </si>
  <si>
    <t>BTCUSDC</t>
  </si>
  <si>
    <t>vpn</t>
  </si>
  <si>
    <t>BTC/USD</t>
  </si>
  <si>
    <t>BTC/USDC</t>
  </si>
  <si>
    <t>BTC/USDT</t>
  </si>
  <si>
    <t>KrakenSpot</t>
  </si>
  <si>
    <t>BTC-USD1</t>
  </si>
  <si>
    <t>KuCoinSpot</t>
  </si>
  <si>
    <t>BTCUSD1</t>
  </si>
  <si>
    <t>BinanceSpot</t>
  </si>
  <si>
    <t>Others</t>
  </si>
  <si>
    <t>API</t>
  </si>
  <si>
    <t>Ranking</t>
  </si>
  <si>
    <t>Importance</t>
  </si>
  <si>
    <t>Tier 1</t>
  </si>
  <si>
    <t>Tier 2</t>
  </si>
  <si>
    <t>Tier 3</t>
  </si>
  <si>
    <t>MEXC</t>
  </si>
  <si>
    <t>Gate</t>
  </si>
  <si>
    <t>Tier 4</t>
  </si>
  <si>
    <t>Tier 5</t>
  </si>
  <si>
    <t>btcusd1</t>
  </si>
  <si>
    <t>BTC/USD1</t>
  </si>
  <si>
    <t>BTC_USD1</t>
  </si>
  <si>
    <t>sBTCUSDT</t>
  </si>
  <si>
    <t>sBTCUSDC</t>
  </si>
  <si>
    <t>NO PRICE</t>
  </si>
  <si>
    <t>tBTCUST</t>
  </si>
  <si>
    <t>Bitnomial</t>
  </si>
  <si>
    <t>EDX</t>
  </si>
  <si>
    <t>BTCZ6</t>
  </si>
  <si>
    <t>BTCH7</t>
  </si>
  <si>
    <t>BinanceUS</t>
  </si>
  <si>
    <t>Binance-Derivs</t>
  </si>
  <si>
    <t>spot contracts - not spot</t>
  </si>
  <si>
    <t>BTCPERP</t>
  </si>
  <si>
    <t>Spot</t>
  </si>
  <si>
    <t>Perps</t>
  </si>
  <si>
    <t>PERP BTC-USD</t>
  </si>
  <si>
    <t>PERP BTC-USDC</t>
  </si>
  <si>
    <t>PERP BTC-USDT</t>
  </si>
  <si>
    <t>Expiring Futures</t>
  </si>
  <si>
    <t>Option</t>
  </si>
  <si>
    <t>BTCV6</t>
  </si>
  <si>
    <t>BTCX6</t>
  </si>
  <si>
    <t>BTC-31JUL26</t>
  </si>
  <si>
    <t>BTC-28AUG26</t>
  </si>
  <si>
    <t>BIT-26JUN26-CDE</t>
  </si>
  <si>
    <t>BIT-31JUL26-CDE</t>
  </si>
  <si>
    <t>BIT-28AUG26-CDE</t>
  </si>
  <si>
    <t>ETHQ6</t>
  </si>
  <si>
    <t>ETHU6</t>
  </si>
  <si>
    <t>ETHV6</t>
  </si>
  <si>
    <t>ETHX6</t>
  </si>
  <si>
    <t>family</t>
  </si>
  <si>
    <t>Symbol</t>
  </si>
  <si>
    <t>ETHZ6</t>
  </si>
  <si>
    <t>ANGL</t>
  </si>
  <si>
    <t>CWB</t>
  </si>
  <si>
    <t>FALN</t>
  </si>
  <si>
    <t>ICVT</t>
  </si>
  <si>
    <t>IGLB</t>
  </si>
  <si>
    <t>MBB</t>
  </si>
  <si>
    <t>MUB</t>
  </si>
  <si>
    <t>SCHQ</t>
  </si>
  <si>
    <t>SPLB</t>
  </si>
  <si>
    <t>SPMB</t>
  </si>
  <si>
    <t>SPTL</t>
  </si>
  <si>
    <t>TFI</t>
  </si>
  <si>
    <t>TLT</t>
  </si>
  <si>
    <t>VCLT</t>
  </si>
  <si>
    <t>VGLT</t>
  </si>
  <si>
    <t>VMBS</t>
  </si>
  <si>
    <t>VTEB</t>
  </si>
  <si>
    <t>None</t>
  </si>
  <si>
    <t>sub_family</t>
  </si>
  <si>
    <t>Crypto</t>
  </si>
  <si>
    <t>Keys</t>
  </si>
  <si>
    <t>output tail directory</t>
  </si>
  <si>
    <t>output directory</t>
  </si>
  <si>
    <t>output workbook name</t>
  </si>
  <si>
    <t>output worksheet name</t>
  </si>
  <si>
    <t>output cell name</t>
  </si>
  <si>
    <t>print timestamp onscreen</t>
  </si>
  <si>
    <t>add timestamp to output df</t>
  </si>
  <si>
    <t>display df onscreen</t>
  </si>
  <si>
    <t>save df to csv</t>
  </si>
  <si>
    <t>send df to xl</t>
  </si>
  <si>
    <t>replace</t>
  </si>
  <si>
    <t>timer interval</t>
  </si>
  <si>
    <t>2026 Crypto Mkt Data.xlsx</t>
  </si>
  <si>
    <t>MKT DATA</t>
  </si>
  <si>
    <t>A1</t>
  </si>
  <si>
    <t>Stat Arb</t>
  </si>
  <si>
    <t>C:\Users\Micha\Git-Crypto\Spreadsheets</t>
  </si>
  <si>
    <t>append</t>
  </si>
  <si>
    <t>active</t>
  </si>
  <si>
    <t>python App_Stream_MktData.py</t>
  </si>
  <si>
    <t>mkt_data_stream</t>
  </si>
  <si>
    <t>CORP</t>
  </si>
  <si>
    <t>LQD</t>
  </si>
  <si>
    <t>USIG</t>
  </si>
  <si>
    <t>AGG</t>
  </si>
  <si>
    <t>BND</t>
  </si>
  <si>
    <t>HYG</t>
  </si>
  <si>
    <t>HYLB</t>
  </si>
  <si>
    <t>IUSB</t>
  </si>
  <si>
    <t>JNK</t>
  </si>
  <si>
    <t>SCHZ</t>
  </si>
  <si>
    <t>SCYB</t>
  </si>
  <si>
    <t>SPAB</t>
  </si>
  <si>
    <t>SPHY</t>
  </si>
  <si>
    <t>USHY</t>
  </si>
  <si>
    <t>SPBO</t>
  </si>
  <si>
    <t>VTC</t>
  </si>
  <si>
    <t>BNDX</t>
  </si>
  <si>
    <t>BWX</t>
  </si>
  <si>
    <t>CMF</t>
  </si>
  <si>
    <t>EMB</t>
  </si>
  <si>
    <t>EMLC</t>
  </si>
  <si>
    <t>IAGG</t>
  </si>
  <si>
    <t>IGOV</t>
  </si>
  <si>
    <t>PFF</t>
  </si>
  <si>
    <t>PFFD</t>
  </si>
  <si>
    <t>PCY</t>
  </si>
  <si>
    <t>VTEC</t>
  </si>
  <si>
    <t>VWOB</t>
  </si>
  <si>
    <t>BTCF7</t>
  </si>
  <si>
    <t>ETHf7</t>
  </si>
  <si>
    <t>USRT</t>
  </si>
  <si>
    <t>SCHH</t>
  </si>
  <si>
    <t>Margin</t>
  </si>
  <si>
    <t>ETF Fee</t>
  </si>
  <si>
    <t>Dec 2025 Ex-Date</t>
  </si>
  <si>
    <t>VanEck</t>
  </si>
  <si>
    <t>Vanguard</t>
  </si>
  <si>
    <t>PIMCO</t>
  </si>
  <si>
    <t>Xtrackers / DWS</t>
  </si>
  <si>
    <t>Invesco</t>
  </si>
  <si>
    <t>Global X</t>
  </si>
  <si>
    <t>Schwab</t>
  </si>
  <si>
    <t>BTC_ETF</t>
  </si>
  <si>
    <t>Stat_Arb_Group</t>
  </si>
  <si>
    <t>2026 Group Trading Inputs.xlsm</t>
  </si>
  <si>
    <t>cd git-projects\trading\apps</t>
  </si>
  <si>
    <t>Sector</t>
  </si>
  <si>
    <t>Family</t>
  </si>
  <si>
    <t>90-day avg daily volume</t>
  </si>
  <si>
    <t>ex-dates</t>
  </si>
  <si>
    <t>dec ex-date</t>
  </si>
  <si>
    <t>Comment</t>
  </si>
  <si>
    <t>Sector`</t>
  </si>
  <si>
    <t>Fidelity</t>
  </si>
  <si>
    <t>iShares</t>
  </si>
  <si>
    <t>State Street</t>
  </si>
  <si>
    <t>Consumer Discretionary</t>
  </si>
  <si>
    <t>FDIS</t>
  </si>
  <si>
    <t>volume too low</t>
  </si>
  <si>
    <t>IYC</t>
  </si>
  <si>
    <t>XLY</t>
  </si>
  <si>
    <t>VCR</t>
  </si>
  <si>
    <t>0.0010 / 0.0006</t>
  </si>
  <si>
    <t>volume too low and not as broad as others</t>
  </si>
  <si>
    <t>FSTA</t>
  </si>
  <si>
    <t>IYK</t>
  </si>
  <si>
    <t>XLP</t>
  </si>
  <si>
    <t>VDC</t>
  </si>
  <si>
    <t>0.0016 / 0.0016</t>
  </si>
  <si>
    <t xml:space="preserve">no peers </t>
  </si>
  <si>
    <t>FENY</t>
  </si>
  <si>
    <t>IYE</t>
  </si>
  <si>
    <t>XLE</t>
  </si>
  <si>
    <t>VDE</t>
  </si>
  <si>
    <t>FNCL</t>
  </si>
  <si>
    <t>IYF</t>
  </si>
  <si>
    <t>XLF</t>
  </si>
  <si>
    <t>VFH</t>
  </si>
  <si>
    <t>0.0010 / 0.0004</t>
  </si>
  <si>
    <t>Consumer Staples</t>
  </si>
  <si>
    <t>FHLC</t>
  </si>
  <si>
    <t>IYH</t>
  </si>
  <si>
    <t>XLV</t>
  </si>
  <si>
    <t>VHT</t>
  </si>
  <si>
    <t>not as broad as others</t>
  </si>
  <si>
    <t>FIDU</t>
  </si>
  <si>
    <t>IYJ</t>
  </si>
  <si>
    <t>XLI</t>
  </si>
  <si>
    <t>VIS</t>
  </si>
  <si>
    <t>FREL</t>
  </si>
  <si>
    <t>IYR</t>
  </si>
  <si>
    <t>XLRE</t>
  </si>
  <si>
    <t>VNQ</t>
  </si>
  <si>
    <t>0.0018 / 0.0014</t>
  </si>
  <si>
    <t>FTEC</t>
  </si>
  <si>
    <t>IYW</t>
  </si>
  <si>
    <t>XLK</t>
  </si>
  <si>
    <t>VGT</t>
  </si>
  <si>
    <t>Energy</t>
  </si>
  <si>
    <t>FUTY</t>
  </si>
  <si>
    <t>IDU</t>
  </si>
  <si>
    <t>XLU</t>
  </si>
  <si>
    <t>VPU</t>
  </si>
  <si>
    <t>0.0018 / 0.0018</t>
  </si>
  <si>
    <t>Financials</t>
  </si>
  <si>
    <t>Healthcare</t>
  </si>
  <si>
    <t>Industrials</t>
  </si>
  <si>
    <t>Real Estate</t>
  </si>
  <si>
    <t>Technology</t>
  </si>
  <si>
    <t>Utilities</t>
  </si>
  <si>
    <t>SEMIS</t>
  </si>
  <si>
    <t>SMH</t>
  </si>
  <si>
    <t>SOXX</t>
  </si>
  <si>
    <t>BIOTECH</t>
  </si>
  <si>
    <t>XBI</t>
  </si>
  <si>
    <t>IBB</t>
  </si>
  <si>
    <t>AERO</t>
  </si>
  <si>
    <t>ITA</t>
  </si>
  <si>
    <t>PPA</t>
  </si>
  <si>
    <t>SHLD</t>
  </si>
  <si>
    <t>XAR</t>
  </si>
  <si>
    <t>IDEF</t>
  </si>
  <si>
    <t>BANKS</t>
  </si>
  <si>
    <t>KBE</t>
  </si>
  <si>
    <t>KBWB</t>
  </si>
  <si>
    <t>REIT</t>
  </si>
  <si>
    <t>ICF</t>
  </si>
  <si>
    <t>RWR</t>
  </si>
  <si>
    <t>INFRA</t>
  </si>
  <si>
    <t>EQUAL WEIGHT</t>
  </si>
  <si>
    <t>RSPT</t>
  </si>
  <si>
    <t>TECH</t>
  </si>
  <si>
    <t>RSPC</t>
  </si>
  <si>
    <t>TELECOM</t>
  </si>
  <si>
    <t>RSPS</t>
  </si>
  <si>
    <t>CONSUMER STAPLES</t>
  </si>
  <si>
    <t>Fallen Angels</t>
  </si>
  <si>
    <t>Agg</t>
  </si>
  <si>
    <t>Long Term Tsy</t>
  </si>
  <si>
    <t>Converts</t>
  </si>
  <si>
    <t>Mortgages</t>
  </si>
  <si>
    <t>Munis</t>
  </si>
  <si>
    <t>Prefs</t>
  </si>
  <si>
    <t>Corps</t>
  </si>
  <si>
    <t>Calif Munis</t>
  </si>
  <si>
    <t>Long Term Corps</t>
  </si>
  <si>
    <t>Hi Yld</t>
  </si>
  <si>
    <t>duration too long</t>
  </si>
  <si>
    <t>EM Gov -US</t>
  </si>
  <si>
    <t>Intl Gov - Unhedged</t>
  </si>
  <si>
    <t>EM Gov - Local</t>
  </si>
  <si>
    <t>mid-month dividends</t>
  </si>
  <si>
    <t>Intl Agg - Hedged</t>
  </si>
  <si>
    <t>RSP</t>
  </si>
  <si>
    <t>S&amp;P 500</t>
  </si>
  <si>
    <t>["FSTA", "XLP", "VDC"]</t>
  </si>
  <si>
    <t>["FENY", "IYE", "XLE", "VDE"]</t>
  </si>
  <si>
    <t>["IYF", "XLF", "VFH"]</t>
  </si>
  <si>
    <t>["FHLC", "IYH", "XLV", "VHT"]</t>
  </si>
  <si>
    <t>["FIDU", "XLI", ]</t>
  </si>
  <si>
    <t>["FREL", "IYR", "XLRE", "VNQ"]</t>
  </si>
  <si>
    <t>["FTEC", "IYW", "XLK", "VGT"]</t>
  </si>
  <si>
    <t>["FUTY", "IDU", "XLU", "VPU"]</t>
  </si>
  <si>
    <t>List</t>
  </si>
  <si>
    <t>Div 202608</t>
  </si>
  <si>
    <t>Div 202607</t>
  </si>
  <si>
    <t xml:space="preserve"> Div 202512</t>
  </si>
  <si>
    <t>Div 202606</t>
  </si>
  <si>
    <t>Div 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</si>
</sst>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&quot;$&quot;* #,##0.0000_);_(&quot;$&quot;* \(#,##0.0000\);_(&quot;$&quot;* &quot;-&quot;??_);_(@_)"/>
    <numFmt numFmtId="166" formatCode="_(* #,##0_);_(* \(#,##0\);_(* &quot;-&quot;??_);_(@_)"/>
    <numFmt numFmtId="167" formatCode="0.0000%"/>
    <numFmt numFmtId="168" formatCode="_(* #,##0.0000_);_(* \(#,##0.0000\);_(* &quot;-&quot;??_);_(@_)"/>
    <numFmt numFmtId="170" formatCode="_(* #,##0.000_);_(* \(#,##0.000\);_(* &quot;-&quot;??_);_(@_)"/>
    <numFmt numFmtId="171" formatCode="0.000%"/>
    <numFmt numFmtId="172" formatCode="yyyy\-mm\-dd;@"/>
    <numFmt numFmtId="173" formatCode="_(&quot;$&quot;* #,##0.000000_);_(&quot;$&quot;* \(#,##0.000000\);_(&quot;$&quot;* &quot;-&quot;??_);_(@_)"/>
    <numFmt numFmtId="179" formatCode="_(&quot;$&quot;* #,##0.00000_);_(&quot;$&quot;* \(#,##0.00000\);_(&quot;$&quot;* &quot;-&quot;??_);_(@_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b/>
      <strike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7030A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trike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2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6" fontId="9" fillId="0" borderId="0" xfId="1" applyNumberFormat="1" applyFont="1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0" fontId="10" fillId="0" borderId="0" xfId="0" applyFont="1" applyAlignment="1">
      <alignment horizontal="center"/>
    </xf>
    <xf numFmtId="44" fontId="2" fillId="0" borderId="0" xfId="2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4" fontId="9" fillId="0" borderId="0" xfId="2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/>
    </xf>
    <xf numFmtId="44" fontId="7" fillId="0" borderId="0" xfId="2" applyFont="1" applyFill="1" applyAlignment="1">
      <alignment horizontal="center"/>
    </xf>
    <xf numFmtId="43" fontId="11" fillId="0" borderId="0" xfId="1" applyFont="1" applyFill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2" applyFont="1" applyFill="1" applyAlignment="1">
      <alignment horizontal="center"/>
    </xf>
    <xf numFmtId="166" fontId="11" fillId="0" borderId="0" xfId="1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9" fillId="2" borderId="0" xfId="1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170" fontId="9" fillId="2" borderId="0" xfId="1" applyNumberFormat="1" applyFont="1" applyFill="1" applyAlignment="1">
      <alignment horizontal="center"/>
    </xf>
    <xf numFmtId="167" fontId="9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center"/>
    </xf>
    <xf numFmtId="166" fontId="11" fillId="2" borderId="0" xfId="1" applyNumberFormat="1" applyFont="1" applyFill="1" applyAlignment="1">
      <alignment horizontal="center"/>
    </xf>
    <xf numFmtId="1" fontId="9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4" fontId="9" fillId="2" borderId="0" xfId="2" applyFont="1" applyFill="1" applyAlignment="1">
      <alignment horizontal="center"/>
    </xf>
    <xf numFmtId="44" fontId="11" fillId="2" borderId="0" xfId="2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171" fontId="0" fillId="0" borderId="0" xfId="3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1" fillId="0" borderId="3" xfId="1" quotePrefix="1" applyFont="1" applyBorder="1" applyAlignment="1">
      <alignment horizontal="center"/>
    </xf>
    <xf numFmtId="0" fontId="1" fillId="0" borderId="3" xfId="1" quotePrefix="1" applyNumberFormat="1" applyFont="1" applyBorder="1" applyAlignment="1">
      <alignment horizontal="center"/>
    </xf>
    <xf numFmtId="0" fontId="12" fillId="0" borderId="3" xfId="0" applyFont="1" applyBorder="1"/>
    <xf numFmtId="43" fontId="9" fillId="0" borderId="3" xfId="1" applyFont="1" applyBorder="1" applyAlignment="1">
      <alignment horizontal="center"/>
    </xf>
    <xf numFmtId="0" fontId="9" fillId="0" borderId="11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1" xfId="0" applyFont="1" applyBorder="1"/>
    <xf numFmtId="43" fontId="9" fillId="0" borderId="1" xfId="1" applyFont="1" applyBorder="1" applyAlignment="1">
      <alignment horizontal="center"/>
    </xf>
    <xf numFmtId="0" fontId="9" fillId="0" borderId="10" xfId="1" applyNumberFormat="1" applyFont="1" applyBorder="1" applyAlignment="1">
      <alignment horizontal="center"/>
    </xf>
    <xf numFmtId="0" fontId="9" fillId="0" borderId="3" xfId="1" quotePrefix="1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3" fontId="15" fillId="0" borderId="3" xfId="1" applyFont="1" applyBorder="1" applyAlignment="1">
      <alignment horizontal="center"/>
    </xf>
    <xf numFmtId="0" fontId="15" fillId="0" borderId="3" xfId="1" quotePrefix="1" applyNumberFormat="1" applyFont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/>
    <xf numFmtId="0" fontId="14" fillId="3" borderId="7" xfId="0" applyFont="1" applyFill="1" applyBorder="1" applyAlignment="1">
      <alignment horizontal="center"/>
    </xf>
    <xf numFmtId="0" fontId="17" fillId="0" borderId="3" xfId="0" applyFont="1" applyBorder="1"/>
    <xf numFmtId="0" fontId="18" fillId="0" borderId="3" xfId="0" applyFont="1" applyBorder="1"/>
    <xf numFmtId="43" fontId="15" fillId="0" borderId="0" xfId="1" applyFont="1" applyFill="1" applyAlignment="1">
      <alignment horizontal="center"/>
    </xf>
    <xf numFmtId="0" fontId="19" fillId="0" borderId="0" xfId="0" applyFont="1" applyAlignment="1">
      <alignment horizontal="center"/>
    </xf>
    <xf numFmtId="44" fontId="15" fillId="0" borderId="0" xfId="2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44" fontId="15" fillId="2" borderId="0" xfId="2" applyFont="1" applyFill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4" fontId="15" fillId="0" borderId="0" xfId="1" applyNumberFormat="1" applyFont="1" applyFill="1" applyAlignment="1">
      <alignment horizontal="center"/>
    </xf>
    <xf numFmtId="0" fontId="15" fillId="0" borderId="0" xfId="0" applyFont="1"/>
    <xf numFmtId="0" fontId="5" fillId="0" borderId="3" xfId="0" applyFont="1" applyBorder="1"/>
    <xf numFmtId="0" fontId="9" fillId="3" borderId="3" xfId="0" applyFont="1" applyFill="1" applyBorder="1"/>
    <xf numFmtId="0" fontId="13" fillId="0" borderId="0" xfId="0" applyFont="1" applyAlignment="1">
      <alignment horizontal="center"/>
    </xf>
    <xf numFmtId="43" fontId="2" fillId="0" borderId="10" xfId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6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12" fillId="0" borderId="5" xfId="0" applyFont="1" applyBorder="1"/>
    <xf numFmtId="43" fontId="9" fillId="0" borderId="5" xfId="1" applyFont="1" applyBorder="1" applyAlignment="1">
      <alignment horizontal="center"/>
    </xf>
    <xf numFmtId="0" fontId="9" fillId="0" borderId="12" xfId="1" applyNumberFormat="1" applyFon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71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9" fillId="0" borderId="0" xfId="1" applyNumberFormat="1" applyFont="1" applyFill="1" applyAlignment="1">
      <alignment horizontal="center"/>
    </xf>
    <xf numFmtId="43" fontId="20" fillId="0" borderId="0" xfId="1" applyFont="1" applyFill="1" applyAlignment="1">
      <alignment horizontal="center"/>
    </xf>
    <xf numFmtId="0" fontId="20" fillId="0" borderId="0" xfId="0" applyFont="1" applyAlignment="1">
      <alignment horizontal="center"/>
    </xf>
    <xf numFmtId="166" fontId="20" fillId="0" borderId="0" xfId="1" applyNumberFormat="1" applyFont="1" applyFill="1" applyAlignment="1">
      <alignment horizontal="center"/>
    </xf>
    <xf numFmtId="44" fontId="20" fillId="0" borderId="0" xfId="2" applyFont="1" applyFill="1" applyAlignment="1">
      <alignment horizontal="center"/>
    </xf>
    <xf numFmtId="164" fontId="20" fillId="0" borderId="0" xfId="1" applyNumberFormat="1" applyFon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 wrapText="1"/>
    </xf>
    <xf numFmtId="43" fontId="21" fillId="0" borderId="0" xfId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1" applyNumberFormat="1" applyFont="1" applyFill="1" applyAlignment="1">
      <alignment horizontal="center"/>
    </xf>
    <xf numFmtId="166" fontId="21" fillId="0" borderId="0" xfId="1" applyNumberFormat="1" applyFont="1" applyFill="1" applyAlignment="1">
      <alignment horizontal="center"/>
    </xf>
    <xf numFmtId="165" fontId="21" fillId="0" borderId="0" xfId="2" applyNumberFormat="1" applyFont="1" applyFill="1" applyAlignment="1">
      <alignment horizontal="center"/>
    </xf>
    <xf numFmtId="164" fontId="21" fillId="0" borderId="0" xfId="1" applyNumberFormat="1" applyFont="1" applyFill="1" applyAlignment="1">
      <alignment horizontal="center"/>
    </xf>
    <xf numFmtId="0" fontId="21" fillId="0" borderId="0" xfId="1" applyNumberFormat="1" applyFont="1" applyAlignment="1">
      <alignment horizontal="center"/>
    </xf>
    <xf numFmtId="43" fontId="22" fillId="0" borderId="0" xfId="1" applyFont="1" applyFill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5" fillId="0" borderId="0" xfId="0" applyFont="1"/>
    <xf numFmtId="0" fontId="24" fillId="0" borderId="0" xfId="0" applyFont="1"/>
    <xf numFmtId="10" fontId="0" fillId="0" borderId="0" xfId="3" applyNumberFormat="1" applyFont="1" applyBorder="1" applyAlignment="1">
      <alignment horizontal="center"/>
    </xf>
    <xf numFmtId="14" fontId="0" fillId="0" borderId="0" xfId="2" applyNumberFormat="1" applyFont="1" applyAlignment="1">
      <alignment horizontal="center"/>
    </xf>
    <xf numFmtId="173" fontId="0" fillId="0" borderId="0" xfId="2" applyNumberFormat="1" applyFont="1" applyAlignment="1">
      <alignment horizontal="center"/>
    </xf>
    <xf numFmtId="166" fontId="0" fillId="0" borderId="0" xfId="1" applyNumberFormat="1" applyFont="1"/>
    <xf numFmtId="10" fontId="0" fillId="0" borderId="0" xfId="3" applyNumberFormat="1" applyFont="1" applyBorder="1"/>
    <xf numFmtId="10" fontId="9" fillId="0" borderId="0" xfId="3" applyNumberFormat="1" applyFont="1" applyFill="1" applyBorder="1"/>
    <xf numFmtId="14" fontId="0" fillId="0" borderId="0" xfId="2" applyNumberFormat="1" applyFont="1"/>
    <xf numFmtId="173" fontId="0" fillId="0" borderId="0" xfId="2" applyNumberFormat="1" applyFont="1"/>
    <xf numFmtId="14" fontId="0" fillId="0" borderId="0" xfId="0" applyNumberForma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171" fontId="24" fillId="0" borderId="0" xfId="3" applyNumberFormat="1" applyFont="1" applyFill="1" applyBorder="1" applyAlignment="1">
      <alignment horizontal="center"/>
    </xf>
    <xf numFmtId="0" fontId="26" fillId="4" borderId="10" xfId="0" applyFont="1" applyFill="1" applyBorder="1"/>
    <xf numFmtId="0" fontId="26" fillId="4" borderId="12" xfId="0" applyFont="1" applyFill="1" applyBorder="1"/>
    <xf numFmtId="172" fontId="23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/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29" fillId="0" borderId="0" xfId="0" applyFont="1"/>
    <xf numFmtId="10" fontId="6" fillId="0" borderId="0" xfId="3" applyNumberFormat="1" applyFont="1" applyBorder="1"/>
    <xf numFmtId="0" fontId="0" fillId="0" borderId="8" xfId="0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6" fillId="0" borderId="1" xfId="0" applyFont="1" applyBorder="1"/>
    <xf numFmtId="0" fontId="6" fillId="0" borderId="3" xfId="0" applyFont="1" applyBorder="1"/>
    <xf numFmtId="0" fontId="6" fillId="0" borderId="5" xfId="0" applyFont="1" applyBorder="1"/>
    <xf numFmtId="0" fontId="2" fillId="0" borderId="1" xfId="0" applyFont="1" applyBorder="1"/>
    <xf numFmtId="3" fontId="5" fillId="0" borderId="0" xfId="0" applyNumberFormat="1" applyFont="1" applyAlignment="1">
      <alignment horizontal="center" vertical="center" wrapText="1"/>
    </xf>
    <xf numFmtId="10" fontId="0" fillId="0" borderId="0" xfId="3" applyNumberFormat="1" applyFont="1"/>
    <xf numFmtId="0" fontId="15" fillId="5" borderId="14" xfId="0" applyFont="1" applyFill="1" applyBorder="1"/>
    <xf numFmtId="166" fontId="15" fillId="5" borderId="9" xfId="1" applyNumberFormat="1" applyFont="1" applyFill="1" applyBorder="1"/>
    <xf numFmtId="0" fontId="29" fillId="5" borderId="9" xfId="0" applyFont="1" applyFill="1" applyBorder="1"/>
    <xf numFmtId="10" fontId="19" fillId="5" borderId="9" xfId="3" applyNumberFormat="1" applyFont="1" applyFill="1" applyBorder="1"/>
    <xf numFmtId="10" fontId="15" fillId="5" borderId="9" xfId="3" applyNumberFormat="1" applyFont="1" applyFill="1" applyBorder="1"/>
    <xf numFmtId="14" fontId="15" fillId="5" borderId="9" xfId="2" applyNumberFormat="1" applyFont="1" applyFill="1" applyBorder="1"/>
    <xf numFmtId="173" fontId="15" fillId="5" borderId="9" xfId="2" applyNumberFormat="1" applyFont="1" applyFill="1" applyBorder="1"/>
    <xf numFmtId="0" fontId="15" fillId="5" borderId="15" xfId="0" applyFont="1" applyFill="1" applyBorder="1"/>
    <xf numFmtId="10" fontId="5" fillId="0" borderId="0" xfId="3" applyNumberFormat="1" applyFont="1" applyFill="1" applyBorder="1"/>
    <xf numFmtId="8" fontId="0" fillId="0" borderId="0" xfId="0" applyNumberFormat="1"/>
    <xf numFmtId="10" fontId="0" fillId="0" borderId="0" xfId="0" applyNumberFormat="1"/>
    <xf numFmtId="8" fontId="15" fillId="0" borderId="0" xfId="0" applyNumberFormat="1" applyFont="1"/>
    <xf numFmtId="10" fontId="15" fillId="0" borderId="0" xfId="0" applyNumberFormat="1" applyFont="1"/>
    <xf numFmtId="179" fontId="0" fillId="0" borderId="0" xfId="2" applyNumberFormat="1" applyFont="1" applyBorder="1"/>
    <xf numFmtId="166" fontId="6" fillId="0" borderId="0" xfId="1" applyNumberFormat="1" applyFont="1" applyAlignment="1">
      <alignment horizontal="center" vertical="center" wrapText="1"/>
    </xf>
    <xf numFmtId="166" fontId="0" fillId="0" borderId="0" xfId="1" applyNumberFormat="1" applyFont="1" applyBorder="1"/>
    <xf numFmtId="3" fontId="0" fillId="0" borderId="0" xfId="0" applyNumberFormat="1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0" fontId="0" fillId="0" borderId="0" xfId="3" applyNumberFormat="1" applyFont="1" applyAlignment="1">
      <alignment vertical="center" wrapText="1"/>
    </xf>
    <xf numFmtId="173" fontId="0" fillId="0" borderId="0" xfId="2" applyNumberFormat="1" applyFont="1" applyAlignment="1">
      <alignment vertical="center" wrapText="1"/>
    </xf>
    <xf numFmtId="0" fontId="15" fillId="5" borderId="14" xfId="0" applyFont="1" applyFill="1" applyBorder="1" applyAlignment="1">
      <alignment vertical="center" wrapText="1"/>
    </xf>
    <xf numFmtId="0" fontId="15" fillId="5" borderId="9" xfId="0" applyFont="1" applyFill="1" applyBorder="1" applyAlignment="1">
      <alignment vertical="center" wrapText="1"/>
    </xf>
    <xf numFmtId="0" fontId="29" fillId="5" borderId="9" xfId="0" applyFont="1" applyFill="1" applyBorder="1" applyAlignment="1">
      <alignment vertical="center" wrapText="1"/>
    </xf>
    <xf numFmtId="3" fontId="15" fillId="5" borderId="9" xfId="0" applyNumberFormat="1" applyFont="1" applyFill="1" applyBorder="1" applyAlignment="1">
      <alignment vertical="center" wrapText="1"/>
    </xf>
    <xf numFmtId="3" fontId="15" fillId="5" borderId="9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3" formatCode="_(&quot;$&quot;* #,##0.000000_);_(&quot;$&quot;* \(#,##0.0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  <dxf>
      <numFmt numFmtId="173" formatCode="_(&quot;$&quot;* #,##0.000000_);_(&quot;$&quot;* \(#,##0.0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9" formatCode="_(&quot;$&quot;* #,##0.00000_);_(&quot;$&quot;* \(#,##0.00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9" formatCode="_(&quot;$&quot;* #,##0.00000_);_(&quot;$&quot;* \(#,##0.00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0_);_(&quot;$&quot;* \(#,##0.000000\);_(&quot;$&quot;* &quot;-&quot;??_);_(@_)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0_);_(&quot;$&quot;* \(#,##0.000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F78D-D1AA-4EF3-9596-7A27A355C060}" name="static_data_table" displayName="static_data_table" ref="A1:O121" totalsRowShown="0" headerRowDxfId="87" dataDxfId="86" headerRowCellStyle="Comma" dataCellStyle="Comma">
  <autoFilter ref="A1:O121" xr:uid="{D0B1F78D-D1AA-4EF3-9596-7A27A355C060}"/>
  <sortState xmlns:xlrd2="http://schemas.microsoft.com/office/spreadsheetml/2017/richdata2" ref="A2:R42">
    <sortCondition ref="F1:F73"/>
  </sortState>
  <tableColumns count="15">
    <tableColumn id="19" xr3:uid="{1221CC04-A25D-42E0-9BD3-B46333797DBE}" name="vpn" dataDxfId="85" dataCellStyle="Comma"/>
    <tableColumn id="10" xr3:uid="{BED55A9A-3E28-4A17-AA02-2381DB89A658}" name="family" dataDxfId="84" dataCellStyle="Comma"/>
    <tableColumn id="12" xr3:uid="{F9B08B7F-16AE-460B-BDFB-B2726D177E92}" name="sub_family" dataDxfId="83" dataCellStyle="Comma"/>
    <tableColumn id="1" xr3:uid="{8C59AB6B-6EBF-48B8-9D8A-4E9EFB96C425}" name="my_prod_type" dataDxfId="82"/>
    <tableColumn id="18" xr3:uid="{D3CEE51C-FF16-474C-AC93-30CEB3E7D375}" name="my_fi_name" dataDxfId="81" dataCellStyle="Comma"/>
    <tableColumn id="22" xr3:uid="{51F924B8-25BB-4080-AD58-7509A60E27B0}" name="my_pf_name" dataDxfId="80"/>
    <tableColumn id="2" xr3:uid="{A13A7736-F17C-4146-B643-6EF65FC4B25C}" name="pf_locator" dataDxfId="79"/>
    <tableColumn id="4" xr3:uid="{211C7B2F-2849-4B0F-B281-BF0424C5B57F}" name="top_currency" dataDxfId="78" dataCellStyle="Comma"/>
    <tableColumn id="3" xr3:uid="{46C5F41D-D64D-4F76-9E5D-390D6FE03BE6}" name="base_currency" dataDxfId="77" dataCellStyle="Comma"/>
    <tableColumn id="9" xr3:uid="{E2441BE5-ABB7-40CB-848F-02508F05A37C}" name="comm_type" dataDxfId="76" dataCellStyle="Comma"/>
    <tableColumn id="5" xr3:uid="{16FCE019-989B-4467-A8B9-96A8E58B2A2A}" name="comm_maker" dataDxfId="75" dataCellStyle="Currency"/>
    <tableColumn id="6" xr3:uid="{0E805949-D535-4626-85EB-FA3727E7DAF4}" name="comm_taker" dataDxfId="74" dataCellStyle="Currency"/>
    <tableColumn id="7" xr3:uid="{5709324A-7C63-43F4-AF59-F119177A7972}" name="comm_misc" dataDxfId="73" dataCellStyle="Comma"/>
    <tableColumn id="8" xr3:uid="{32E47B88-05FD-48EE-97A0-59BC78476043}" name="comm_update" dataDxfId="72" dataCellStyle="Comma"/>
    <tableColumn id="11" xr3:uid="{B6578BCD-793E-47C9-99CF-D01D02E8D922}" name="mkt_data_stream" dataDxfId="7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FBE59F-E145-48B4-A9F0-75F818F296F4}" name="btc_to_do" displayName="btc_to_do" ref="A126:AA179" totalsRowShown="0" headerRowDxfId="70" dataDxfId="69">
  <autoFilter ref="A126:AA179" xr:uid="{8AFBE59F-E145-48B4-A9F0-75F818F296F4}">
    <filterColumn colId="1">
      <filters>
        <filter val="future"/>
      </filters>
    </filterColumn>
  </autoFilter>
  <tableColumns count="27">
    <tableColumn id="1" xr3:uid="{73FD62E2-E8FE-4C00-9C3C-F3122EB55D0D}" name="Column1" dataDxfId="68"/>
    <tableColumn id="2" xr3:uid="{F8F856BF-80BD-4398-8276-448953D1A283}" name="Column2" dataDxfId="67"/>
    <tableColumn id="3" xr3:uid="{859FF76C-0D7F-496C-B885-2DE680F3F916}" name="Column7" dataDxfId="66"/>
    <tableColumn id="4" xr3:uid="{EFE5B159-5688-4C13-A02D-A6C704275E2E}" name="Column4" dataDxfId="65"/>
    <tableColumn id="5" xr3:uid="{69D00D15-DF82-46C9-9945-107A85371A6F}" name="Column5" dataDxfId="64"/>
    <tableColumn id="6" xr3:uid="{F10DE59E-3B92-4DD0-8A04-FAE76E9F8BB9}" name="Column6" dataDxfId="63"/>
    <tableColumn id="8" xr3:uid="{2D949549-0F5C-4A89-B8F7-72304B9A24F1}" name="Column8" dataDxfId="62"/>
    <tableColumn id="9" xr3:uid="{C42826CE-029E-4945-8434-CBC9F4DAA57F}" name="Column9" dataDxfId="61" dataCellStyle="Comma"/>
    <tableColumn id="7" xr3:uid="{F0789B57-A27F-47CD-94AE-4F6B71344DB9}" name="Column92" dataDxfId="60" dataCellStyle="Currency"/>
    <tableColumn id="13" xr3:uid="{84F8B5AD-93FB-4C3E-8E09-FB358E10FC62}" name="Column93" dataDxfId="59" dataCellStyle="Currency"/>
    <tableColumn id="14" xr3:uid="{DA8CB162-5C11-45A4-93E0-E0C45C3ED3D0}" name="Column94" dataDxfId="58" dataCellStyle="Comma"/>
    <tableColumn id="27" xr3:uid="{100A9F62-6915-49BB-B014-4D0BC03BB553}" name="Column95" dataDxfId="57" dataCellStyle="Comma"/>
    <tableColumn id="10" xr3:uid="{5B60D48A-2B91-4E81-AD9D-2709C1335F32}" name="Column10" dataDxfId="56" dataCellStyle="Comma"/>
    <tableColumn id="11" xr3:uid="{E1B16D3B-DEA4-44A7-8DE4-CA3F41D77B2B}" name="Column11" dataDxfId="55" dataCellStyle="Comma"/>
    <tableColumn id="12" xr3:uid="{793817C6-38BE-49BA-A9A6-4F96D87310D9}" name="Column12" dataDxfId="54" dataCellStyle="Comma"/>
    <tableColumn id="15" xr3:uid="{2AFA675A-D2B0-476D-A865-BB72634DC6DA}" name="Column15" dataDxfId="53"/>
    <tableColumn id="16" xr3:uid="{B5249436-7148-4EBF-B8E6-5226AA101320}" name="Column16" dataDxfId="52" dataCellStyle="Currency"/>
    <tableColumn id="17" xr3:uid="{22140E2C-B2EC-4771-8D39-0E8FE9F80B88}" name="Column17" dataDxfId="51"/>
    <tableColumn id="18" xr3:uid="{AC423A03-E794-4524-9C7D-D02B01892118}" name="Column18" dataDxfId="50" dataCellStyle="Comma"/>
    <tableColumn id="19" xr3:uid="{F73A917A-F13B-4BB9-8524-E34E6050878C}" name="Column19" dataDxfId="49" dataCellStyle="Comma"/>
    <tableColumn id="20" xr3:uid="{4A9B484B-EBD7-41D1-8470-161DB87D7FB2}" name="Column20" dataDxfId="48" dataCellStyle="Comma"/>
    <tableColumn id="21" xr3:uid="{D03D1805-69BB-4D67-B61E-961F2E625E81}" name="Column21" dataDxfId="47"/>
    <tableColumn id="22" xr3:uid="{66E8E4D1-FF14-404F-8354-025C93AED5CB}" name="Column22" dataDxfId="46"/>
    <tableColumn id="23" xr3:uid="{9540F131-1C8F-4F4F-8796-92F1AFD57E03}" name="Column23" dataDxfId="45"/>
    <tableColumn id="24" xr3:uid="{B7156378-CEA1-4808-9801-4E93C755FE92}" name="Column24" dataDxfId="44"/>
    <tableColumn id="25" xr3:uid="{6908C233-AA1B-4818-BF8F-36FC13C53D09}" name="Column25" dataDxfId="43"/>
    <tableColumn id="26" xr3:uid="{104781D6-1EEE-4947-A424-3CE3DCADF4CF}" name="Column26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EA60E1-CEC4-43C9-8716-3B5D84C5EEA2}" name="mkt_data_streaming_inputs" displayName="mkt_data_streaming_inputs" ref="A1:D13" totalsRowShown="0" headerRowDxfId="41" dataDxfId="40">
  <autoFilter ref="A1:D13" xr:uid="{D7EA60E1-CEC4-43C9-8716-3B5D84C5EEA2}"/>
  <tableColumns count="4">
    <tableColumn id="1" xr3:uid="{1B4EEA70-C71C-4CEF-9887-9E40B33F8AAC}" name="Keys" dataDxfId="39"/>
    <tableColumn id="2" xr3:uid="{5215E933-000B-4891-AE18-89796F5A216B}" name="Crypto" dataDxfId="38"/>
    <tableColumn id="4" xr3:uid="{A4E0A8E0-4334-4FB9-95BD-3E9FE4AB471E}" name="Stat_Arb_Group" dataDxfId="27"/>
    <tableColumn id="5" xr3:uid="{16DC4587-9A67-4643-BE5B-698CEC2360C4}" name="BTC_ETF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31094-215C-402D-8B13-3705F7FDAA90}" name="Static_Data_Table3" displayName="Static_Data_Table3" ref="A1:K41" totalsRowShown="0">
  <autoFilter ref="A1:K41" xr:uid="{09E497BC-17A6-470C-8E05-7E807D85C061}"/>
  <sortState xmlns:xlrd2="http://schemas.microsoft.com/office/spreadsheetml/2017/richdata2" ref="A2:K41">
    <sortCondition ref="A1:A41"/>
  </sortState>
  <tableColumns count="11">
    <tableColumn id="7" xr3:uid="{05D8AE13-6024-4F28-BE04-4F5644C5B73A}" name="Sector"/>
    <tableColumn id="6" xr3:uid="{E5A2D359-0CA5-4F93-B24F-A5EB1CBCCB59}" name="Family" dataDxfId="29" dataCellStyle="Comma"/>
    <tableColumn id="1" xr3:uid="{AFA57C80-2B2F-4727-B322-33373A15C9AE}" name="Symbol" dataDxfId="28"/>
    <tableColumn id="2" xr3:uid="{8D355E55-9FB0-4524-AED7-63AB9F6D6462}" name="ETF Fee" dataDxfId="24" dataCellStyle="Percent"/>
    <tableColumn id="3" xr3:uid="{12E9D21A-00B6-422C-8E33-799EE77C479B}" name="Margin" dataDxfId="21" dataCellStyle="Percent"/>
    <tableColumn id="10" xr3:uid="{E4D4C04D-8552-411E-A523-CA974B50C63C}" name="90-day avg daily volume" dataDxfId="23" dataCellStyle="Comma"/>
    <tableColumn id="13" xr3:uid="{F669470C-F245-4562-8E25-5953F248B91F}" name="Div 202608" dataDxfId="26" dataCellStyle="Currency"/>
    <tableColumn id="11" xr3:uid="{BBCBF25D-DDD4-4D61-8E1E-077BE62554AC}" name="Div 202607" dataDxfId="25" dataCellStyle="Currency"/>
    <tableColumn id="5" xr3:uid="{6C9795AF-4493-4D80-8BB1-FF32A4E90439}" name=" Div 202512" dataDxfId="36" dataCellStyle="Currency"/>
    <tableColumn id="4" xr3:uid="{D716E943-B958-4884-BE63-A9B80B433F62}" name="Dec 2025 Ex-Date" dataDxfId="22" dataCellStyle="Currency"/>
    <tableColumn id="9" xr3:uid="{9FCCF7D4-0FBF-4FEE-86E1-9320D1C3E195}" name="Comment" dataDxfId="30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0E6D1C-587C-46C9-A105-4BB342A7898A}" name="Table1" displayName="Table1" ref="A1:K29" totalsRowShown="0" headerRowDxfId="35">
  <autoFilter ref="A1:K29" xr:uid="{0A0E6D1C-587C-46C9-A105-4BB342A7898A}"/>
  <sortState xmlns:xlrd2="http://schemas.microsoft.com/office/spreadsheetml/2017/richdata2" ref="A2:K29">
    <sortCondition ref="A1:A29"/>
  </sortState>
  <tableColumns count="11">
    <tableColumn id="1" xr3:uid="{331833D3-E7BB-4E57-8E8F-1C0883A3A9B9}" name="Sector" dataDxfId="34"/>
    <tableColumn id="4" xr3:uid="{16712F27-987B-4DBD-B2EE-957DA7BAA192}" name="Family" dataDxfId="33"/>
    <tableColumn id="2" xr3:uid="{533BB203-100F-46C7-8E16-234DCE35D1FF}" name="Symbol" dataDxfId="20"/>
    <tableColumn id="8" xr3:uid="{95B03AE8-330C-4BE6-B157-2ADD0247F9A2}" name="ETF Fee" dataDxfId="18" dataCellStyle="Percent"/>
    <tableColumn id="9" xr3:uid="{4ED243AC-0C4D-4A4E-B0F6-64085C2878D9}" name="Margin" dataDxfId="19"/>
    <tableColumn id="3" xr3:uid="{A5BFF572-39B7-4E20-A506-C715513BF632}" name="90-day avg daily volume" dataDxfId="17"/>
    <tableColumn id="10" xr3:uid="{7F644C55-4B9F-4CDD-882D-9E19F90EF87E}" name="Div 202606" dataDxfId="16" dataCellStyle="Currency"/>
    <tableColumn id="11" xr3:uid="{E3CBFE69-006E-44B5-81F4-6FE009F57844}" name="Div 202603" dataDxfId="14" dataCellStyle="Currency"/>
    <tableColumn id="6" xr3:uid="{5017A43C-DDB8-4A3F-928A-A541F53317AF}" name="ex-dates" dataDxfId="15"/>
    <tableColumn id="7" xr3:uid="{F587C624-DAF0-4C66-A741-32F3B6D359DE}" name="dec ex-date" dataDxfId="32"/>
    <tableColumn id="5" xr3:uid="{50A42E2D-48BA-4302-9094-7529A3A3CCA5}" name="Comment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7D8-63C4-43F7-A7E4-368987D3CFF8}">
  <sheetPr codeName="Sheet1"/>
  <dimension ref="A2:B24"/>
  <sheetViews>
    <sheetView workbookViewId="0">
      <selection activeCell="O25" sqref="O25"/>
    </sheetView>
  </sheetViews>
  <sheetFormatPr defaultRowHeight="15" x14ac:dyDescent="0.25"/>
  <sheetData>
    <row r="2" spans="1:2" x14ac:dyDescent="0.25">
      <c r="A2" t="s">
        <v>96</v>
      </c>
    </row>
    <row r="4" spans="1:2" x14ac:dyDescent="0.25">
      <c r="A4" t="s">
        <v>97</v>
      </c>
    </row>
    <row r="6" spans="1:2" x14ac:dyDescent="0.25">
      <c r="A6" t="s">
        <v>113</v>
      </c>
    </row>
    <row r="7" spans="1:2" x14ac:dyDescent="0.25">
      <c r="A7" t="s">
        <v>114</v>
      </c>
    </row>
    <row r="9" spans="1:2" x14ac:dyDescent="0.25">
      <c r="A9" t="s">
        <v>112</v>
      </c>
    </row>
    <row r="10" spans="1:2" x14ac:dyDescent="0.25">
      <c r="A10" t="s">
        <v>101</v>
      </c>
    </row>
    <row r="11" spans="1:2" x14ac:dyDescent="0.25">
      <c r="B11" t="s">
        <v>102</v>
      </c>
    </row>
    <row r="12" spans="1:2" x14ac:dyDescent="0.25">
      <c r="B12" t="s">
        <v>104</v>
      </c>
    </row>
    <row r="13" spans="1:2" x14ac:dyDescent="0.25">
      <c r="B13" t="s">
        <v>103</v>
      </c>
    </row>
    <row r="14" spans="1:2" x14ac:dyDescent="0.25">
      <c r="B14" t="s">
        <v>106</v>
      </c>
    </row>
    <row r="15" spans="1:2" x14ac:dyDescent="0.25">
      <c r="B15" t="s">
        <v>105</v>
      </c>
    </row>
    <row r="16" spans="1:2" x14ac:dyDescent="0.25">
      <c r="B16" t="s">
        <v>107</v>
      </c>
    </row>
    <row r="17" spans="1:2" x14ac:dyDescent="0.25">
      <c r="B17" t="s">
        <v>108</v>
      </c>
    </row>
    <row r="18" spans="1:2" x14ac:dyDescent="0.25">
      <c r="B18" t="s">
        <v>109</v>
      </c>
    </row>
    <row r="19" spans="1:2" x14ac:dyDescent="0.25">
      <c r="B19" t="s">
        <v>110</v>
      </c>
    </row>
    <row r="20" spans="1:2" x14ac:dyDescent="0.25">
      <c r="B20" t="s">
        <v>111</v>
      </c>
    </row>
    <row r="22" spans="1:2" x14ac:dyDescent="0.25">
      <c r="A22" t="s">
        <v>98</v>
      </c>
    </row>
    <row r="23" spans="1:2" x14ac:dyDescent="0.25">
      <c r="B23" t="s">
        <v>99</v>
      </c>
    </row>
    <row r="24" spans="1:2" x14ac:dyDescent="0.25">
      <c r="B2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6F99-334D-4668-BBC7-02C2065ABD80}">
  <sheetPr codeName="Sheet3"/>
  <dimension ref="A1:R36"/>
  <sheetViews>
    <sheetView workbookViewId="0">
      <selection activeCell="H27" sqref="H27"/>
    </sheetView>
  </sheetViews>
  <sheetFormatPr defaultColWidth="8.85546875" defaultRowHeight="15" x14ac:dyDescent="0.25"/>
  <cols>
    <col min="1" max="1" width="14.28515625" style="2" bestFit="1" customWidth="1"/>
    <col min="2" max="2" width="12.7109375" style="71" bestFit="1" customWidth="1"/>
    <col min="3" max="3" width="8.140625" style="2" bestFit="1" customWidth="1"/>
    <col min="4" max="4" width="8.5703125" style="20" bestFit="1" customWidth="1"/>
    <col min="5" max="5" width="9.85546875" style="20" bestFit="1" customWidth="1"/>
    <col min="6" max="7" width="9.7109375" style="20" bestFit="1" customWidth="1"/>
    <col min="8" max="8" width="13.28515625" style="2" bestFit="1" customWidth="1"/>
    <col min="9" max="9" width="14.42578125" style="2" bestFit="1" customWidth="1"/>
    <col min="10" max="10" width="14.140625" style="2" bestFit="1" customWidth="1"/>
    <col min="11" max="18" width="9.28515625" style="2" customWidth="1"/>
    <col min="19" max="19" width="16.7109375" style="2" bestFit="1" customWidth="1"/>
    <col min="20" max="20" width="9.85546875" style="2" bestFit="1" customWidth="1"/>
    <col min="21" max="22" width="11.28515625" style="2" bestFit="1" customWidth="1"/>
    <col min="23" max="23" width="17" style="2" bestFit="1" customWidth="1"/>
    <col min="24" max="24" width="13.42578125" style="2" bestFit="1" customWidth="1"/>
    <col min="25" max="25" width="17.28515625" style="2" bestFit="1" customWidth="1"/>
    <col min="26" max="26" width="21.140625" style="2" bestFit="1" customWidth="1"/>
    <col min="27" max="16384" width="8.85546875" style="2"/>
  </cols>
  <sheetData>
    <row r="1" spans="1:18" ht="15.75" thickBot="1" x14ac:dyDescent="0.3">
      <c r="A1" s="60" t="s">
        <v>18</v>
      </c>
      <c r="C1" s="69" t="s">
        <v>175</v>
      </c>
      <c r="D1" s="168" t="s">
        <v>200</v>
      </c>
      <c r="E1" s="169"/>
      <c r="F1" s="169"/>
      <c r="G1" s="169"/>
      <c r="H1" s="168" t="s">
        <v>201</v>
      </c>
      <c r="I1" s="169"/>
      <c r="J1" s="169"/>
      <c r="K1" s="168" t="s">
        <v>205</v>
      </c>
      <c r="L1" s="169"/>
      <c r="M1" s="169"/>
      <c r="N1" s="170"/>
      <c r="O1" s="168" t="s">
        <v>206</v>
      </c>
      <c r="P1" s="169"/>
      <c r="Q1" s="169"/>
      <c r="R1" s="170"/>
    </row>
    <row r="2" spans="1:18" ht="15.75" thickBot="1" x14ac:dyDescent="0.3">
      <c r="B2" s="106" t="s">
        <v>177</v>
      </c>
      <c r="C2" s="70" t="s">
        <v>176</v>
      </c>
      <c r="D2" s="107" t="s">
        <v>38</v>
      </c>
      <c r="E2" s="105" t="s">
        <v>74</v>
      </c>
      <c r="F2" s="105" t="s">
        <v>40</v>
      </c>
      <c r="G2" s="105" t="s">
        <v>170</v>
      </c>
      <c r="H2" s="107" t="s">
        <v>202</v>
      </c>
      <c r="I2" s="105" t="s">
        <v>203</v>
      </c>
      <c r="J2" s="105" t="s">
        <v>204</v>
      </c>
      <c r="K2" s="16" t="s">
        <v>34</v>
      </c>
      <c r="L2" s="1" t="s">
        <v>75</v>
      </c>
      <c r="M2" s="1" t="s">
        <v>33</v>
      </c>
      <c r="N2" s="17" t="s">
        <v>174</v>
      </c>
      <c r="O2" s="16" t="s">
        <v>34</v>
      </c>
      <c r="P2" s="1" t="s">
        <v>75</v>
      </c>
      <c r="Q2" s="1" t="s">
        <v>33</v>
      </c>
      <c r="R2" s="17" t="s">
        <v>174</v>
      </c>
    </row>
    <row r="3" spans="1:18" x14ac:dyDescent="0.25">
      <c r="A3" s="79" t="s">
        <v>25</v>
      </c>
      <c r="B3" s="80" t="s">
        <v>178</v>
      </c>
      <c r="C3" s="81">
        <v>4</v>
      </c>
      <c r="D3" s="108" t="s">
        <v>39</v>
      </c>
      <c r="E3" s="108" t="s">
        <v>164</v>
      </c>
      <c r="F3" s="108" t="s">
        <v>37</v>
      </c>
      <c r="G3" s="108" t="s">
        <v>172</v>
      </c>
      <c r="H3" s="110" t="b">
        <v>0</v>
      </c>
      <c r="I3" s="111" t="b">
        <v>0</v>
      </c>
      <c r="J3" s="111" t="b">
        <v>0</v>
      </c>
      <c r="K3" s="62"/>
      <c r="L3" s="63"/>
      <c r="M3" s="63"/>
      <c r="N3" s="61"/>
      <c r="O3" s="62"/>
      <c r="P3" s="63"/>
      <c r="Q3" s="63"/>
      <c r="R3" s="61"/>
    </row>
    <row r="4" spans="1:18" x14ac:dyDescent="0.25">
      <c r="A4" s="103" t="s">
        <v>197</v>
      </c>
      <c r="B4" s="72" t="s">
        <v>87</v>
      </c>
      <c r="C4" s="76" t="s">
        <v>87</v>
      </c>
      <c r="D4" s="84" t="b">
        <v>0</v>
      </c>
      <c r="E4" s="118" t="b">
        <v>0</v>
      </c>
      <c r="F4" s="118" t="b">
        <v>0</v>
      </c>
      <c r="G4" s="118" t="b">
        <v>0</v>
      </c>
      <c r="H4" s="64"/>
      <c r="K4" s="64"/>
      <c r="N4" s="65"/>
      <c r="O4" s="64"/>
      <c r="R4" s="65"/>
    </row>
    <row r="5" spans="1:18" x14ac:dyDescent="0.25">
      <c r="A5" s="74" t="s">
        <v>196</v>
      </c>
      <c r="B5" s="72" t="s">
        <v>87</v>
      </c>
      <c r="C5" s="76" t="s">
        <v>87</v>
      </c>
      <c r="D5" s="119" t="s">
        <v>39</v>
      </c>
      <c r="E5" s="119" t="s">
        <v>164</v>
      </c>
      <c r="F5" s="119" t="s">
        <v>37</v>
      </c>
      <c r="G5" s="118" t="b">
        <v>0</v>
      </c>
      <c r="H5" s="112" t="b">
        <v>0</v>
      </c>
      <c r="I5" s="120" t="b">
        <v>0</v>
      </c>
      <c r="J5" s="120" t="b">
        <v>0</v>
      </c>
      <c r="K5" s="64"/>
      <c r="N5" s="65"/>
      <c r="O5" s="64"/>
      <c r="R5" s="65"/>
    </row>
    <row r="6" spans="1:18" x14ac:dyDescent="0.25">
      <c r="A6" s="74" t="s">
        <v>30</v>
      </c>
      <c r="B6" s="75" t="s">
        <v>179</v>
      </c>
      <c r="C6" s="76">
        <v>8</v>
      </c>
      <c r="D6" s="83" t="s">
        <v>36</v>
      </c>
      <c r="E6" s="118" t="b">
        <v>0</v>
      </c>
      <c r="F6" s="119" t="s">
        <v>191</v>
      </c>
      <c r="G6" s="118" t="b">
        <v>0</v>
      </c>
      <c r="H6" s="64"/>
      <c r="K6" s="64"/>
      <c r="N6" s="65"/>
      <c r="O6" s="64"/>
      <c r="R6" s="65"/>
    </row>
    <row r="7" spans="1:18" x14ac:dyDescent="0.25">
      <c r="A7" s="94" t="s">
        <v>192</v>
      </c>
      <c r="B7" s="72" t="s">
        <v>87</v>
      </c>
      <c r="C7" s="73" t="s">
        <v>87</v>
      </c>
      <c r="D7" s="104" t="s">
        <v>198</v>
      </c>
      <c r="E7" s="118"/>
      <c r="F7" s="119"/>
      <c r="G7" s="118"/>
      <c r="H7" s="113" t="b">
        <v>0</v>
      </c>
      <c r="I7" s="120" t="b">
        <v>0</v>
      </c>
      <c r="J7" s="120" t="b">
        <v>0</v>
      </c>
      <c r="K7" s="64" t="b">
        <v>1</v>
      </c>
      <c r="N7" s="65"/>
      <c r="O7" s="64"/>
      <c r="R7" s="65"/>
    </row>
    <row r="8" spans="1:18" s="60" customFormat="1" x14ac:dyDescent="0.25">
      <c r="A8" s="74" t="s">
        <v>26</v>
      </c>
      <c r="B8" s="75" t="s">
        <v>178</v>
      </c>
      <c r="C8" s="76">
        <v>5</v>
      </c>
      <c r="D8" s="83" t="s">
        <v>39</v>
      </c>
      <c r="E8" s="119" t="s">
        <v>164</v>
      </c>
      <c r="F8" s="119" t="s">
        <v>37</v>
      </c>
      <c r="G8" s="118" t="b">
        <v>0</v>
      </c>
      <c r="H8" s="64" t="s">
        <v>39</v>
      </c>
      <c r="I8" s="2" t="s">
        <v>199</v>
      </c>
      <c r="J8" s="2" t="s">
        <v>37</v>
      </c>
      <c r="K8" s="64"/>
      <c r="L8" s="2"/>
      <c r="M8" s="2"/>
      <c r="N8" s="65"/>
      <c r="O8" s="64"/>
      <c r="P8" s="2"/>
      <c r="Q8" s="2"/>
      <c r="R8" s="65"/>
    </row>
    <row r="9" spans="1:18" s="59" customFormat="1" x14ac:dyDescent="0.25">
      <c r="A9" s="74" t="s">
        <v>6</v>
      </c>
      <c r="B9" s="75" t="s">
        <v>178</v>
      </c>
      <c r="C9" s="76">
        <v>1</v>
      </c>
      <c r="D9" s="119" t="s">
        <v>38</v>
      </c>
      <c r="E9" s="118" t="s">
        <v>190</v>
      </c>
      <c r="F9" s="119" t="s">
        <v>40</v>
      </c>
      <c r="G9" s="118" t="b">
        <v>0</v>
      </c>
      <c r="H9" s="112" t="b">
        <v>0</v>
      </c>
      <c r="I9" s="120" t="b">
        <v>0</v>
      </c>
      <c r="J9" s="120" t="b">
        <v>0</v>
      </c>
      <c r="K9" s="77"/>
      <c r="L9" s="20"/>
      <c r="M9" s="20"/>
      <c r="N9" s="78"/>
      <c r="O9" s="77"/>
      <c r="P9" s="20"/>
      <c r="Q9" s="20"/>
      <c r="R9" s="78"/>
    </row>
    <row r="10" spans="1:18" x14ac:dyDescent="0.25">
      <c r="A10" s="74" t="s">
        <v>22</v>
      </c>
      <c r="B10" s="75" t="s">
        <v>178</v>
      </c>
      <c r="C10" s="76">
        <v>9</v>
      </c>
      <c r="D10" s="84" t="b">
        <v>0</v>
      </c>
      <c r="E10" s="119" t="s">
        <v>148</v>
      </c>
      <c r="F10" s="119" t="s">
        <v>149</v>
      </c>
      <c r="G10" s="118" t="b">
        <v>0</v>
      </c>
      <c r="H10" s="64"/>
      <c r="K10" s="64"/>
      <c r="N10" s="65"/>
      <c r="O10" s="64"/>
      <c r="R10" s="65"/>
    </row>
    <row r="11" spans="1:18" x14ac:dyDescent="0.25">
      <c r="A11" s="94" t="s">
        <v>193</v>
      </c>
      <c r="B11" s="72" t="s">
        <v>87</v>
      </c>
      <c r="C11" s="73" t="s">
        <v>87</v>
      </c>
      <c r="D11" s="84"/>
      <c r="E11" s="119"/>
      <c r="F11" s="119"/>
      <c r="G11" s="118"/>
      <c r="H11" s="113" t="b">
        <v>0</v>
      </c>
      <c r="I11" s="120" t="b">
        <v>0</v>
      </c>
      <c r="J11" s="120" t="b">
        <v>0</v>
      </c>
      <c r="K11" s="64"/>
      <c r="N11" s="65"/>
      <c r="O11" s="64"/>
      <c r="R11" s="65"/>
    </row>
    <row r="12" spans="1:18" x14ac:dyDescent="0.25">
      <c r="A12" s="74" t="s">
        <v>182</v>
      </c>
      <c r="B12" s="75" t="s">
        <v>180</v>
      </c>
      <c r="C12" s="82" t="s">
        <v>87</v>
      </c>
      <c r="D12" s="84" t="b">
        <v>0</v>
      </c>
      <c r="E12" s="119" t="s">
        <v>148</v>
      </c>
      <c r="F12" s="119" t="s">
        <v>149</v>
      </c>
      <c r="G12" s="119" t="s">
        <v>187</v>
      </c>
      <c r="H12" s="64"/>
      <c r="K12" s="64"/>
      <c r="N12" s="65"/>
      <c r="O12" s="64"/>
      <c r="R12" s="65"/>
    </row>
    <row r="13" spans="1:18" x14ac:dyDescent="0.25">
      <c r="A13" s="74" t="s">
        <v>19</v>
      </c>
      <c r="B13" s="75" t="s">
        <v>183</v>
      </c>
      <c r="C13" s="76">
        <v>3</v>
      </c>
      <c r="D13" s="119" t="s">
        <v>162</v>
      </c>
      <c r="E13" s="119" t="s">
        <v>163</v>
      </c>
      <c r="F13" s="119" t="s">
        <v>35</v>
      </c>
      <c r="G13" s="118" t="b">
        <v>0</v>
      </c>
      <c r="H13" s="112" t="b">
        <v>0</v>
      </c>
      <c r="I13" s="120" t="b">
        <v>0</v>
      </c>
      <c r="J13" s="120" t="b">
        <v>0</v>
      </c>
      <c r="K13" s="64"/>
      <c r="N13" s="65"/>
      <c r="O13" s="64"/>
      <c r="R13" s="65"/>
    </row>
    <row r="14" spans="1:18" x14ac:dyDescent="0.25">
      <c r="A14" s="74" t="s">
        <v>29</v>
      </c>
      <c r="B14" s="75" t="s">
        <v>184</v>
      </c>
      <c r="C14" s="76">
        <v>10</v>
      </c>
      <c r="D14" s="84" t="b">
        <v>0</v>
      </c>
      <c r="E14" s="119" t="s">
        <v>163</v>
      </c>
      <c r="F14" s="119" t="s">
        <v>35</v>
      </c>
      <c r="G14" s="119" t="s">
        <v>185</v>
      </c>
      <c r="H14" s="64"/>
      <c r="K14" s="64"/>
      <c r="N14" s="65"/>
      <c r="O14" s="64"/>
      <c r="R14" s="65"/>
    </row>
    <row r="15" spans="1:18" x14ac:dyDescent="0.25">
      <c r="A15" s="74" t="s">
        <v>7</v>
      </c>
      <c r="B15" s="75" t="s">
        <v>179</v>
      </c>
      <c r="C15" s="76">
        <v>2</v>
      </c>
      <c r="D15" s="119" t="s">
        <v>166</v>
      </c>
      <c r="E15" s="119" t="s">
        <v>167</v>
      </c>
      <c r="F15" s="119" t="s">
        <v>168</v>
      </c>
      <c r="G15" s="119" t="s">
        <v>186</v>
      </c>
      <c r="H15" s="112" t="b">
        <v>0</v>
      </c>
      <c r="I15" s="120" t="b">
        <v>0</v>
      </c>
      <c r="J15" s="120" t="b">
        <v>0</v>
      </c>
      <c r="K15" s="64"/>
      <c r="N15" s="65"/>
      <c r="O15" s="64"/>
      <c r="R15" s="65"/>
    </row>
    <row r="16" spans="1:18" x14ac:dyDescent="0.25">
      <c r="A16" s="94" t="s">
        <v>70</v>
      </c>
      <c r="B16" s="72" t="s">
        <v>87</v>
      </c>
      <c r="C16" s="73" t="s">
        <v>87</v>
      </c>
      <c r="D16" s="84" t="b">
        <v>0</v>
      </c>
      <c r="E16" s="118" t="b">
        <v>0</v>
      </c>
      <c r="F16" s="118" t="b">
        <v>0</v>
      </c>
      <c r="G16" s="118" t="b">
        <v>0</v>
      </c>
      <c r="H16" s="64"/>
      <c r="K16" s="64"/>
      <c r="N16" s="65"/>
      <c r="O16" s="64"/>
      <c r="R16" s="65"/>
    </row>
    <row r="17" spans="1:18" x14ac:dyDescent="0.25">
      <c r="A17" s="74" t="s">
        <v>31</v>
      </c>
      <c r="B17" s="75" t="s">
        <v>179</v>
      </c>
      <c r="C17" s="76">
        <v>7</v>
      </c>
      <c r="D17" s="84" t="b">
        <v>0</v>
      </c>
      <c r="E17" s="119" t="s">
        <v>74</v>
      </c>
      <c r="F17" s="119" t="s">
        <v>40</v>
      </c>
      <c r="G17" s="119" t="s">
        <v>170</v>
      </c>
      <c r="H17" s="112" t="b">
        <v>0</v>
      </c>
      <c r="I17" s="120" t="b">
        <v>0</v>
      </c>
      <c r="J17" s="120" t="b">
        <v>0</v>
      </c>
      <c r="K17" s="64"/>
      <c r="N17" s="65"/>
      <c r="O17" s="64"/>
      <c r="R17" s="65"/>
    </row>
    <row r="18" spans="1:18" x14ac:dyDescent="0.25">
      <c r="A18" s="94" t="s">
        <v>71</v>
      </c>
      <c r="B18" s="72" t="s">
        <v>87</v>
      </c>
      <c r="C18" s="73" t="s">
        <v>87</v>
      </c>
      <c r="D18" s="84" t="b">
        <v>0</v>
      </c>
      <c r="E18" s="118" t="b">
        <v>0</v>
      </c>
      <c r="F18" s="118" t="b">
        <v>0</v>
      </c>
      <c r="G18" s="118" t="b">
        <v>0</v>
      </c>
      <c r="H18" s="64"/>
      <c r="K18" s="64"/>
      <c r="N18" s="65"/>
      <c r="O18" s="64"/>
      <c r="R18" s="65"/>
    </row>
    <row r="19" spans="1:18" s="85" customFormat="1" x14ac:dyDescent="0.25">
      <c r="A19" s="93" t="s">
        <v>181</v>
      </c>
      <c r="B19" s="86" t="s">
        <v>180</v>
      </c>
      <c r="C19" s="87" t="s">
        <v>87</v>
      </c>
      <c r="D19" s="88"/>
      <c r="E19" s="121"/>
      <c r="F19" s="121"/>
      <c r="G19" s="121"/>
      <c r="H19" s="91"/>
      <c r="K19" s="89"/>
      <c r="N19" s="90"/>
      <c r="O19" s="89"/>
      <c r="R19" s="90"/>
    </row>
    <row r="20" spans="1:18" x14ac:dyDescent="0.25">
      <c r="A20" s="74" t="s">
        <v>28</v>
      </c>
      <c r="B20" s="75" t="s">
        <v>178</v>
      </c>
      <c r="C20" s="76">
        <v>6</v>
      </c>
      <c r="D20" s="119" t="s">
        <v>38</v>
      </c>
      <c r="E20" s="119" t="s">
        <v>74</v>
      </c>
      <c r="F20" s="119" t="s">
        <v>40</v>
      </c>
      <c r="G20" s="118" t="b">
        <v>0</v>
      </c>
      <c r="H20" s="64"/>
      <c r="K20" s="64"/>
      <c r="N20" s="65"/>
      <c r="O20" s="64"/>
      <c r="R20" s="65"/>
    </row>
    <row r="21" spans="1:18" ht="15.75" thickBot="1" x14ac:dyDescent="0.3">
      <c r="A21" s="122" t="s">
        <v>146</v>
      </c>
      <c r="B21" s="123" t="s">
        <v>180</v>
      </c>
      <c r="C21" s="124" t="s">
        <v>87</v>
      </c>
      <c r="D21" s="92" t="b">
        <v>0</v>
      </c>
      <c r="E21" s="109" t="s">
        <v>189</v>
      </c>
      <c r="F21" s="109" t="s">
        <v>188</v>
      </c>
      <c r="G21" s="92" t="b">
        <v>0</v>
      </c>
      <c r="H21" s="66"/>
      <c r="I21" s="67"/>
      <c r="J21" s="67"/>
      <c r="K21" s="66"/>
      <c r="L21" s="67"/>
      <c r="M21" s="67"/>
      <c r="N21" s="68"/>
      <c r="O21" s="66"/>
      <c r="P21" s="67"/>
      <c r="Q21" s="67"/>
      <c r="R21" s="68"/>
    </row>
    <row r="22" spans="1:18" ht="15.75" thickBot="1" x14ac:dyDescent="0.3">
      <c r="C22" s="114" t="s">
        <v>44</v>
      </c>
      <c r="D22" s="115">
        <f>COUNTA(D3:D21)-COUNTIF(D3:D21,"FALSE")-COUNTIF(D3:D21, "NO PRICE")</f>
        <v>9</v>
      </c>
      <c r="E22" s="116">
        <f>COUNTA(E3:E21)-COUNTIF(E3:E21,"FALSE")-COUNTIF(E3:E21, "NO PRICE")</f>
        <v>11</v>
      </c>
      <c r="F22" s="116">
        <f>COUNTA(F3:F21)-COUNTIF(F3:F21,"FALSE")-COUNTIF(F3:F21, "NO PRICE")</f>
        <v>13</v>
      </c>
      <c r="G22" s="117">
        <f>COUNTA(G3:G21)-COUNTIF(G3:G21,"FALSE")-COUNTIF(G3:G21, "NO PRICE")</f>
        <v>5</v>
      </c>
      <c r="H22" s="115">
        <f>COUNTA(H3:H21)-COUNTIF(H3:H21,"FALSE")-COUNTIF(H3:H21, "NO PRICE")</f>
        <v>1</v>
      </c>
      <c r="J22"/>
      <c r="M22"/>
      <c r="Q22"/>
    </row>
    <row r="23" spans="1:18" x14ac:dyDescent="0.25">
      <c r="M23"/>
      <c r="Q23"/>
    </row>
    <row r="24" spans="1:18" x14ac:dyDescent="0.25">
      <c r="A24" s="2" t="s">
        <v>25</v>
      </c>
      <c r="D24" s="2"/>
      <c r="E24" s="2"/>
      <c r="F24" s="2"/>
    </row>
    <row r="25" spans="1:18" x14ac:dyDescent="0.25">
      <c r="A25" s="2" t="s">
        <v>196</v>
      </c>
      <c r="D25" s="2"/>
      <c r="E25" s="2"/>
      <c r="F25" s="2"/>
      <c r="G25" s="2"/>
    </row>
    <row r="26" spans="1:18" x14ac:dyDescent="0.25">
      <c r="A26" s="2" t="s">
        <v>30</v>
      </c>
      <c r="D26" s="2"/>
      <c r="E26" s="2"/>
      <c r="F26" s="2"/>
    </row>
    <row r="27" spans="1:18" x14ac:dyDescent="0.25">
      <c r="A27" s="2" t="s">
        <v>26</v>
      </c>
      <c r="D27" s="2"/>
      <c r="E27" s="2"/>
      <c r="F27" s="2"/>
    </row>
    <row r="28" spans="1:18" x14ac:dyDescent="0.25">
      <c r="A28" s="2" t="s">
        <v>6</v>
      </c>
      <c r="D28" s="2"/>
      <c r="E28" s="2"/>
      <c r="F28" s="2"/>
    </row>
    <row r="29" spans="1:18" x14ac:dyDescent="0.25">
      <c r="A29" s="2" t="s">
        <v>22</v>
      </c>
      <c r="D29" s="2"/>
      <c r="E29" s="2"/>
      <c r="F29" s="2"/>
      <c r="G29" s="2"/>
    </row>
    <row r="30" spans="1:18" x14ac:dyDescent="0.25">
      <c r="A30" s="2" t="s">
        <v>182</v>
      </c>
      <c r="D30" s="2"/>
      <c r="E30" s="2"/>
      <c r="F30" s="2"/>
    </row>
    <row r="31" spans="1:18" x14ac:dyDescent="0.25">
      <c r="A31" s="2" t="s">
        <v>19</v>
      </c>
      <c r="D31" s="2"/>
      <c r="E31" s="2"/>
      <c r="F31" s="2"/>
    </row>
    <row r="32" spans="1:18" x14ac:dyDescent="0.25">
      <c r="A32" s="2" t="s">
        <v>29</v>
      </c>
      <c r="D32" s="2"/>
      <c r="E32" s="2"/>
      <c r="F32" s="2"/>
    </row>
    <row r="33" spans="1:1" x14ac:dyDescent="0.25">
      <c r="A33" s="2" t="s">
        <v>7</v>
      </c>
    </row>
    <row r="34" spans="1:1" x14ac:dyDescent="0.25">
      <c r="A34" s="2" t="s">
        <v>31</v>
      </c>
    </row>
    <row r="35" spans="1:1" x14ac:dyDescent="0.25">
      <c r="A35" s="2" t="s">
        <v>28</v>
      </c>
    </row>
    <row r="36" spans="1:1" x14ac:dyDescent="0.25">
      <c r="A36" s="2" t="s">
        <v>146</v>
      </c>
    </row>
  </sheetData>
  <sortState xmlns:xlrd2="http://schemas.microsoft.com/office/spreadsheetml/2017/richdata2" ref="A24:A37">
    <sortCondition ref="A24:A37"/>
  </sortState>
  <mergeCells count="4">
    <mergeCell ref="K1:N1"/>
    <mergeCell ref="H1:J1"/>
    <mergeCell ref="O1:R1"/>
    <mergeCell ref="D1:G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9B6-FC5E-4FF4-B5FC-4461B285498A}">
  <sheetPr codeName="Sheet4"/>
  <dimension ref="A1:AC179"/>
  <sheetViews>
    <sheetView zoomScaleNormal="100" workbookViewId="0">
      <pane ySplit="1" topLeftCell="A2" activePane="bottomLeft" state="frozen"/>
      <selection pane="bottomLeft" activeCell="A42" sqref="A42"/>
    </sheetView>
  </sheetViews>
  <sheetFormatPr defaultColWidth="8.85546875" defaultRowHeight="15" x14ac:dyDescent="0.25"/>
  <cols>
    <col min="1" max="1" width="15.140625" style="20" bestFit="1" customWidth="1"/>
    <col min="2" max="2" width="13.7109375" style="20" bestFit="1" customWidth="1"/>
    <col min="3" max="3" width="16.42578125" style="20" bestFit="1" customWidth="1"/>
    <col min="4" max="4" width="16.85546875" style="20" bestFit="1" customWidth="1"/>
    <col min="5" max="6" width="16.42578125" style="20" bestFit="1" customWidth="1"/>
    <col min="7" max="7" width="20.140625" style="2" bestFit="1" customWidth="1"/>
    <col min="8" max="8" width="16.42578125" style="2" bestFit="1" customWidth="1"/>
    <col min="9" max="9" width="19.140625" style="28" bestFit="1" customWidth="1"/>
    <col min="10" max="10" width="18.140625" style="28" bestFit="1" customWidth="1"/>
    <col min="11" max="11" width="17.85546875" style="2" bestFit="1" customWidth="1"/>
    <col min="12" max="12" width="19.85546875" style="2" bestFit="1" customWidth="1"/>
    <col min="13" max="13" width="14.7109375" style="4" bestFit="1" customWidth="1"/>
    <col min="14" max="14" width="23" style="4" bestFit="1" customWidth="1"/>
    <col min="15" max="15" width="23" style="2" bestFit="1" customWidth="1"/>
    <col min="16" max="18" width="14.7109375" style="2" bestFit="1" customWidth="1"/>
    <col min="19" max="19" width="16.140625" style="2" bestFit="1" customWidth="1"/>
    <col min="20" max="20" width="14.7109375" style="28" bestFit="1" customWidth="1"/>
    <col min="21" max="21" width="16.140625" style="2" bestFit="1" customWidth="1"/>
    <col min="22" max="22" width="16.140625" style="3" bestFit="1" customWidth="1"/>
    <col min="23" max="23" width="14.7109375" style="3" bestFit="1" customWidth="1"/>
    <col min="24" max="24" width="16.140625" style="3" bestFit="1" customWidth="1"/>
    <col min="25" max="26" width="14.7109375" style="2" bestFit="1" customWidth="1"/>
    <col min="27" max="27" width="16.140625" style="2" bestFit="1" customWidth="1"/>
    <col min="28" max="16384" width="8.85546875" style="2"/>
  </cols>
  <sheetData>
    <row r="1" spans="1:29" x14ac:dyDescent="0.25">
      <c r="A1" s="6" t="s">
        <v>165</v>
      </c>
      <c r="B1" s="6" t="s">
        <v>218</v>
      </c>
      <c r="C1" s="6" t="s">
        <v>239</v>
      </c>
      <c r="D1" s="1" t="s">
        <v>11</v>
      </c>
      <c r="E1" s="1" t="s">
        <v>155</v>
      </c>
      <c r="F1" s="1" t="s">
        <v>153</v>
      </c>
      <c r="G1" s="13" t="s">
        <v>154</v>
      </c>
      <c r="H1" s="6" t="s">
        <v>156</v>
      </c>
      <c r="I1" s="6" t="s">
        <v>147</v>
      </c>
      <c r="J1" s="1" t="s">
        <v>0</v>
      </c>
      <c r="K1" s="26" t="s">
        <v>1</v>
      </c>
      <c r="L1" s="26" t="s">
        <v>2</v>
      </c>
      <c r="M1" s="6" t="s">
        <v>143</v>
      </c>
      <c r="N1" s="6" t="s">
        <v>10</v>
      </c>
      <c r="O1" s="6" t="s">
        <v>262</v>
      </c>
      <c r="P1" s="6"/>
      <c r="Q1" s="6"/>
      <c r="R1" s="6"/>
      <c r="T1" s="2"/>
      <c r="V1" s="28"/>
      <c r="W1" s="2"/>
      <c r="Y1" s="1"/>
      <c r="Z1" s="6"/>
      <c r="AA1" s="1"/>
      <c r="AB1" s="1"/>
      <c r="AC1" s="1"/>
    </row>
    <row r="2" spans="1:29" x14ac:dyDescent="0.25">
      <c r="A2" s="4" t="b">
        <v>1</v>
      </c>
      <c r="B2" s="4" t="s">
        <v>240</v>
      </c>
      <c r="C2" s="4" t="s">
        <v>18</v>
      </c>
      <c r="D2" s="2" t="s">
        <v>32</v>
      </c>
      <c r="E2" s="2" t="s">
        <v>38</v>
      </c>
      <c r="F2" s="2" t="s">
        <v>173</v>
      </c>
      <c r="G2" s="2" t="s">
        <v>39</v>
      </c>
      <c r="H2" s="28" t="s">
        <v>161</v>
      </c>
      <c r="I2" s="28" t="s">
        <v>161</v>
      </c>
      <c r="J2" s="2" t="s">
        <v>8</v>
      </c>
      <c r="K2" s="126">
        <v>1E-3</v>
      </c>
      <c r="L2" s="126">
        <v>1E-3</v>
      </c>
      <c r="M2" s="3">
        <v>0</v>
      </c>
      <c r="N2" s="54"/>
      <c r="O2" s="3" t="b">
        <v>0</v>
      </c>
      <c r="P2" s="3"/>
      <c r="Q2" s="54"/>
      <c r="R2" s="3"/>
      <c r="T2" s="2"/>
      <c r="V2" s="28"/>
      <c r="W2" s="2"/>
      <c r="Y2" s="3"/>
    </row>
    <row r="3" spans="1:29" x14ac:dyDescent="0.25">
      <c r="A3" s="4" t="b">
        <v>1</v>
      </c>
      <c r="B3" s="4" t="s">
        <v>240</v>
      </c>
      <c r="C3" s="4" t="s">
        <v>18</v>
      </c>
      <c r="D3" s="2" t="s">
        <v>32</v>
      </c>
      <c r="E3" s="2" t="s">
        <v>170</v>
      </c>
      <c r="F3" s="2" t="s">
        <v>173</v>
      </c>
      <c r="G3" s="2" t="s">
        <v>172</v>
      </c>
      <c r="H3" s="28" t="s">
        <v>161</v>
      </c>
      <c r="I3" s="28" t="s">
        <v>161</v>
      </c>
      <c r="J3" s="2" t="s">
        <v>8</v>
      </c>
      <c r="K3" s="126">
        <v>1E-3</v>
      </c>
      <c r="L3" s="126">
        <v>1E-3</v>
      </c>
      <c r="M3" s="3">
        <v>0</v>
      </c>
      <c r="N3" s="54"/>
      <c r="O3" s="3" t="b">
        <v>0</v>
      </c>
      <c r="P3" s="3"/>
      <c r="Q3" s="54"/>
      <c r="R3" s="3"/>
      <c r="T3" s="2"/>
      <c r="V3" s="28"/>
      <c r="W3" s="2"/>
      <c r="Y3" s="3"/>
    </row>
    <row r="4" spans="1:29" x14ac:dyDescent="0.25">
      <c r="A4" s="4" t="b">
        <v>1</v>
      </c>
      <c r="B4" s="4" t="s">
        <v>240</v>
      </c>
      <c r="C4" s="4" t="s">
        <v>18</v>
      </c>
      <c r="D4" s="2" t="s">
        <v>32</v>
      </c>
      <c r="E4" s="2" t="s">
        <v>74</v>
      </c>
      <c r="F4" s="2" t="s">
        <v>173</v>
      </c>
      <c r="G4" s="2" t="s">
        <v>164</v>
      </c>
      <c r="H4" s="28" t="s">
        <v>161</v>
      </c>
      <c r="I4" s="28" t="s">
        <v>161</v>
      </c>
      <c r="J4" s="2" t="s">
        <v>8</v>
      </c>
      <c r="K4" s="126">
        <v>1E-3</v>
      </c>
      <c r="L4" s="126">
        <v>1E-3</v>
      </c>
      <c r="M4" s="3">
        <v>0</v>
      </c>
      <c r="N4" s="54"/>
      <c r="O4" s="3" t="b">
        <v>0</v>
      </c>
      <c r="P4" s="3"/>
      <c r="Q4" s="54"/>
      <c r="R4" s="3"/>
      <c r="T4" s="2"/>
      <c r="V4" s="28"/>
      <c r="W4" s="2"/>
      <c r="Y4" s="3"/>
    </row>
    <row r="5" spans="1:29" x14ac:dyDescent="0.25">
      <c r="A5" s="4" t="b">
        <v>1</v>
      </c>
      <c r="B5" s="4" t="s">
        <v>240</v>
      </c>
      <c r="C5" s="4" t="s">
        <v>18</v>
      </c>
      <c r="D5" s="2" t="s">
        <v>32</v>
      </c>
      <c r="E5" s="2" t="s">
        <v>40</v>
      </c>
      <c r="F5" s="2" t="s">
        <v>173</v>
      </c>
      <c r="G5" s="2" t="s">
        <v>37</v>
      </c>
      <c r="H5" s="28" t="s">
        <v>161</v>
      </c>
      <c r="I5" s="28" t="s">
        <v>161</v>
      </c>
      <c r="J5" s="2" t="s">
        <v>8</v>
      </c>
      <c r="K5" s="126">
        <v>1E-3</v>
      </c>
      <c r="L5" s="126">
        <v>1E-3</v>
      </c>
      <c r="M5" s="3">
        <v>0</v>
      </c>
      <c r="N5" s="54"/>
      <c r="O5" s="3" t="b">
        <v>0</v>
      </c>
      <c r="P5" s="3"/>
      <c r="Q5" s="54"/>
      <c r="R5" s="3"/>
      <c r="T5" s="2"/>
      <c r="V5" s="28"/>
      <c r="W5" s="2"/>
      <c r="Y5" s="3"/>
    </row>
    <row r="6" spans="1:29" x14ac:dyDescent="0.25">
      <c r="A6" s="4" t="b">
        <v>0</v>
      </c>
      <c r="B6" s="4" t="s">
        <v>240</v>
      </c>
      <c r="C6" s="4" t="s">
        <v>18</v>
      </c>
      <c r="D6" s="2" t="s">
        <v>32</v>
      </c>
      <c r="E6" s="2" t="s">
        <v>38</v>
      </c>
      <c r="F6" s="2" t="s">
        <v>196</v>
      </c>
      <c r="G6" s="2" t="s">
        <v>39</v>
      </c>
      <c r="H6" s="28" t="s">
        <v>161</v>
      </c>
      <c r="I6" s="28" t="s">
        <v>161</v>
      </c>
      <c r="J6" s="2" t="s">
        <v>8</v>
      </c>
      <c r="K6" s="126">
        <v>1E-3</v>
      </c>
      <c r="L6" s="126">
        <v>1E-3</v>
      </c>
      <c r="M6" s="3">
        <v>0</v>
      </c>
      <c r="N6" s="54"/>
      <c r="O6" s="3" t="b">
        <v>1</v>
      </c>
      <c r="P6" s="3"/>
      <c r="Q6" s="54"/>
      <c r="R6" s="3"/>
      <c r="T6" s="2"/>
      <c r="V6" s="28"/>
      <c r="W6" s="2"/>
      <c r="Y6" s="3"/>
    </row>
    <row r="7" spans="1:29" x14ac:dyDescent="0.25">
      <c r="A7" s="4" t="b">
        <v>0</v>
      </c>
      <c r="B7" s="4" t="s">
        <v>240</v>
      </c>
      <c r="C7" s="4" t="s">
        <v>18</v>
      </c>
      <c r="D7" s="2" t="s">
        <v>32</v>
      </c>
      <c r="E7" s="2" t="s">
        <v>74</v>
      </c>
      <c r="F7" s="2" t="s">
        <v>196</v>
      </c>
      <c r="G7" s="2" t="s">
        <v>164</v>
      </c>
      <c r="H7" s="28" t="s">
        <v>161</v>
      </c>
      <c r="I7" s="28" t="s">
        <v>161</v>
      </c>
      <c r="J7" s="2" t="s">
        <v>8</v>
      </c>
      <c r="K7" s="126">
        <v>1E-3</v>
      </c>
      <c r="L7" s="126">
        <v>1E-3</v>
      </c>
      <c r="M7" s="3">
        <v>0</v>
      </c>
      <c r="N7" s="54"/>
      <c r="O7" s="3" t="b">
        <v>0</v>
      </c>
      <c r="P7" s="3"/>
      <c r="Q7" s="54"/>
      <c r="R7" s="3"/>
      <c r="T7" s="2"/>
      <c r="V7" s="28"/>
      <c r="W7" s="2"/>
      <c r="Y7" s="3"/>
    </row>
    <row r="8" spans="1:29" x14ac:dyDescent="0.25">
      <c r="A8" s="4" t="b">
        <v>0</v>
      </c>
      <c r="B8" s="4" t="s">
        <v>240</v>
      </c>
      <c r="C8" s="4" t="s">
        <v>18</v>
      </c>
      <c r="D8" s="2" t="s">
        <v>32</v>
      </c>
      <c r="E8" s="2" t="s">
        <v>40</v>
      </c>
      <c r="F8" s="2" t="s">
        <v>196</v>
      </c>
      <c r="G8" s="2" t="s">
        <v>37</v>
      </c>
      <c r="H8" s="28" t="s">
        <v>161</v>
      </c>
      <c r="I8" s="28" t="s">
        <v>161</v>
      </c>
      <c r="J8" s="2" t="s">
        <v>8</v>
      </c>
      <c r="K8" s="126">
        <v>1E-3</v>
      </c>
      <c r="L8" s="126">
        <v>1E-3</v>
      </c>
      <c r="M8" s="3">
        <v>0</v>
      </c>
      <c r="N8" s="54"/>
      <c r="O8" s="3" t="b">
        <v>0</v>
      </c>
      <c r="P8" s="3"/>
      <c r="Q8" s="54"/>
      <c r="R8" s="3"/>
      <c r="T8" s="2"/>
      <c r="V8" s="28"/>
      <c r="W8" s="2"/>
      <c r="Y8" s="3"/>
    </row>
    <row r="9" spans="1:29" x14ac:dyDescent="0.25">
      <c r="A9" s="4" t="b">
        <v>1</v>
      </c>
      <c r="B9" s="4" t="s">
        <v>240</v>
      </c>
      <c r="C9" s="4" t="s">
        <v>18</v>
      </c>
      <c r="D9" s="2" t="s">
        <v>32</v>
      </c>
      <c r="E9" s="2" t="s">
        <v>38</v>
      </c>
      <c r="F9" s="2" t="s">
        <v>30</v>
      </c>
      <c r="G9" s="2" t="s">
        <v>36</v>
      </c>
      <c r="H9" s="3" t="s">
        <v>34</v>
      </c>
      <c r="I9" s="3" t="s">
        <v>18</v>
      </c>
      <c r="J9" s="2" t="s">
        <v>8</v>
      </c>
      <c r="K9" s="126">
        <v>1E-3</v>
      </c>
      <c r="L9" s="126">
        <v>2E-3</v>
      </c>
      <c r="M9" s="3">
        <v>0</v>
      </c>
      <c r="N9" s="54"/>
      <c r="O9" s="3" t="b">
        <v>0</v>
      </c>
      <c r="P9" s="3"/>
      <c r="Q9" s="54"/>
      <c r="R9" s="3"/>
      <c r="T9" s="2"/>
      <c r="V9" s="28"/>
      <c r="W9" s="2"/>
      <c r="Y9" s="3"/>
    </row>
    <row r="10" spans="1:29" x14ac:dyDescent="0.25">
      <c r="A10" s="4" t="b">
        <v>1</v>
      </c>
      <c r="B10" s="4" t="s">
        <v>240</v>
      </c>
      <c r="C10" s="4" t="s">
        <v>18</v>
      </c>
      <c r="D10" s="2" t="s">
        <v>32</v>
      </c>
      <c r="E10" s="2" t="s">
        <v>40</v>
      </c>
      <c r="F10" s="2" t="s">
        <v>30</v>
      </c>
      <c r="G10" s="2" t="s">
        <v>191</v>
      </c>
      <c r="H10" s="3" t="s">
        <v>33</v>
      </c>
      <c r="I10" s="3" t="s">
        <v>18</v>
      </c>
      <c r="J10" s="2" t="s">
        <v>8</v>
      </c>
      <c r="K10" s="126">
        <v>1E-3</v>
      </c>
      <c r="L10" s="126">
        <v>2E-3</v>
      </c>
      <c r="M10" s="3">
        <v>0</v>
      </c>
      <c r="N10" s="54"/>
      <c r="O10" s="3" t="b">
        <v>0</v>
      </c>
      <c r="P10" s="3"/>
      <c r="Q10" s="54"/>
      <c r="R10" s="3"/>
      <c r="T10" s="2"/>
      <c r="V10" s="28"/>
      <c r="W10" s="2"/>
      <c r="Y10" s="3"/>
    </row>
    <row r="11" spans="1:29" s="20" customFormat="1" x14ac:dyDescent="0.25">
      <c r="A11" s="4" t="b">
        <v>1</v>
      </c>
      <c r="B11" s="4" t="s">
        <v>240</v>
      </c>
      <c r="C11" s="4" t="s">
        <v>18</v>
      </c>
      <c r="D11" s="2" t="s">
        <v>32</v>
      </c>
      <c r="E11" s="2" t="s">
        <v>38</v>
      </c>
      <c r="F11" s="2" t="s">
        <v>26</v>
      </c>
      <c r="G11" s="2" t="s">
        <v>39</v>
      </c>
      <c r="H11" s="28" t="s">
        <v>161</v>
      </c>
      <c r="I11" s="28" t="s">
        <v>161</v>
      </c>
      <c r="J11" s="2" t="s">
        <v>8</v>
      </c>
      <c r="K11" s="126">
        <v>1E-3</v>
      </c>
      <c r="L11" s="126">
        <v>1E-3</v>
      </c>
      <c r="M11" s="3">
        <v>0</v>
      </c>
      <c r="N11" s="54"/>
      <c r="O11" s="3" t="b">
        <v>0</v>
      </c>
      <c r="P11" s="3"/>
      <c r="Q11" s="54"/>
      <c r="R11" s="3"/>
      <c r="Y11" s="2"/>
    </row>
    <row r="12" spans="1:29" s="20" customFormat="1" x14ac:dyDescent="0.25">
      <c r="A12" s="4" t="b">
        <v>1</v>
      </c>
      <c r="B12" s="4" t="s">
        <v>240</v>
      </c>
      <c r="C12" s="4" t="s">
        <v>18</v>
      </c>
      <c r="D12" s="2" t="s">
        <v>32</v>
      </c>
      <c r="E12" s="2" t="s">
        <v>74</v>
      </c>
      <c r="F12" s="2" t="s">
        <v>26</v>
      </c>
      <c r="G12" s="2" t="s">
        <v>164</v>
      </c>
      <c r="H12" s="28" t="s">
        <v>161</v>
      </c>
      <c r="I12" s="28" t="s">
        <v>161</v>
      </c>
      <c r="J12" s="2" t="s">
        <v>8</v>
      </c>
      <c r="K12" s="126">
        <v>1E-3</v>
      </c>
      <c r="L12" s="126">
        <v>1E-3</v>
      </c>
      <c r="M12" s="3">
        <v>0</v>
      </c>
      <c r="N12" s="54"/>
      <c r="O12" s="3" t="b">
        <v>0</v>
      </c>
      <c r="P12" s="3"/>
      <c r="Q12" s="54"/>
      <c r="R12" s="3"/>
      <c r="Y12" s="2"/>
    </row>
    <row r="13" spans="1:29" s="20" customFormat="1" x14ac:dyDescent="0.25">
      <c r="A13" s="4" t="b">
        <v>1</v>
      </c>
      <c r="B13" s="4" t="s">
        <v>240</v>
      </c>
      <c r="C13" s="4" t="s">
        <v>18</v>
      </c>
      <c r="D13" s="2" t="s">
        <v>32</v>
      </c>
      <c r="E13" s="2" t="s">
        <v>40</v>
      </c>
      <c r="F13" s="2" t="s">
        <v>26</v>
      </c>
      <c r="G13" s="2" t="s">
        <v>37</v>
      </c>
      <c r="H13" s="28" t="s">
        <v>161</v>
      </c>
      <c r="I13" s="28" t="s">
        <v>161</v>
      </c>
      <c r="J13" s="2" t="s">
        <v>8</v>
      </c>
      <c r="K13" s="126">
        <v>1E-3</v>
      </c>
      <c r="L13" s="126">
        <v>1E-3</v>
      </c>
      <c r="M13" s="3">
        <v>0</v>
      </c>
      <c r="N13" s="54"/>
      <c r="O13" s="3" t="b">
        <v>0</v>
      </c>
      <c r="P13" s="3"/>
      <c r="Q13" s="54"/>
      <c r="R13" s="3"/>
      <c r="Y13" s="2"/>
    </row>
    <row r="14" spans="1:29" s="20" customFormat="1" x14ac:dyDescent="0.25">
      <c r="A14" s="4" t="b">
        <v>0</v>
      </c>
      <c r="B14" s="4" t="s">
        <v>240</v>
      </c>
      <c r="C14" s="4" t="s">
        <v>18</v>
      </c>
      <c r="D14" s="2" t="s">
        <v>32</v>
      </c>
      <c r="E14" s="2" t="s">
        <v>38</v>
      </c>
      <c r="F14" s="2" t="s">
        <v>6</v>
      </c>
      <c r="G14" s="2" t="s">
        <v>38</v>
      </c>
      <c r="H14" s="28" t="s">
        <v>161</v>
      </c>
      <c r="I14" s="28" t="s">
        <v>161</v>
      </c>
      <c r="J14" s="2" t="s">
        <v>8</v>
      </c>
      <c r="K14" s="126">
        <v>4.0000000000000001E-3</v>
      </c>
      <c r="L14" s="126">
        <v>6.0000000000000001E-3</v>
      </c>
      <c r="M14" s="3">
        <v>0</v>
      </c>
      <c r="N14" s="54"/>
      <c r="O14" s="3" t="b">
        <v>1</v>
      </c>
      <c r="P14" s="3"/>
      <c r="Q14" s="54"/>
      <c r="R14" s="3"/>
      <c r="Y14" s="2"/>
    </row>
    <row r="15" spans="1:29" customFormat="1" x14ac:dyDescent="0.25">
      <c r="A15" s="4" t="b">
        <v>0</v>
      </c>
      <c r="B15" s="4" t="s">
        <v>240</v>
      </c>
      <c r="C15" s="4" t="s">
        <v>18</v>
      </c>
      <c r="D15" s="2" t="s">
        <v>32</v>
      </c>
      <c r="E15" s="2" t="s">
        <v>40</v>
      </c>
      <c r="F15" s="2" t="s">
        <v>6</v>
      </c>
      <c r="G15" s="2" t="s">
        <v>40</v>
      </c>
      <c r="H15" s="28" t="s">
        <v>161</v>
      </c>
      <c r="I15" s="28" t="s">
        <v>161</v>
      </c>
      <c r="J15" s="2" t="s">
        <v>8</v>
      </c>
      <c r="K15" s="126">
        <v>4.0000000000000001E-3</v>
      </c>
      <c r="L15" s="126">
        <v>6.0000000000000001E-3</v>
      </c>
      <c r="M15" s="3">
        <v>0</v>
      </c>
      <c r="N15" s="54"/>
      <c r="O15" s="3" t="b">
        <v>0</v>
      </c>
      <c r="P15" s="3"/>
      <c r="Q15" s="54"/>
      <c r="R15" s="3"/>
    </row>
    <row r="16" spans="1:29" customFormat="1" x14ac:dyDescent="0.25">
      <c r="A16" s="4" t="b">
        <v>1</v>
      </c>
      <c r="B16" s="4" t="s">
        <v>240</v>
      </c>
      <c r="C16" s="4" t="s">
        <v>18</v>
      </c>
      <c r="D16" s="2" t="s">
        <v>32</v>
      </c>
      <c r="E16" s="2" t="s">
        <v>74</v>
      </c>
      <c r="F16" s="2" t="s">
        <v>22</v>
      </c>
      <c r="G16" s="2" t="s">
        <v>148</v>
      </c>
      <c r="H16" s="28" t="s">
        <v>161</v>
      </c>
      <c r="I16" s="28" t="s">
        <v>161</v>
      </c>
      <c r="J16" s="2" t="s">
        <v>8</v>
      </c>
      <c r="K16" s="125">
        <v>1E-3</v>
      </c>
      <c r="L16" s="125">
        <v>1E-3</v>
      </c>
      <c r="M16" s="3">
        <v>0</v>
      </c>
      <c r="N16" s="54"/>
      <c r="O16" s="3" t="b">
        <v>0</v>
      </c>
      <c r="P16" s="3"/>
      <c r="Q16" s="54"/>
      <c r="R16" s="3"/>
    </row>
    <row r="17" spans="1:18" customFormat="1" x14ac:dyDescent="0.25">
      <c r="A17" s="4" t="b">
        <v>1</v>
      </c>
      <c r="B17" s="4" t="s">
        <v>240</v>
      </c>
      <c r="C17" s="4" t="s">
        <v>18</v>
      </c>
      <c r="D17" s="2" t="s">
        <v>32</v>
      </c>
      <c r="E17" s="2" t="s">
        <v>40</v>
      </c>
      <c r="F17" s="2" t="s">
        <v>22</v>
      </c>
      <c r="G17" s="2" t="s">
        <v>149</v>
      </c>
      <c r="H17" s="28" t="s">
        <v>161</v>
      </c>
      <c r="I17" s="28" t="s">
        <v>161</v>
      </c>
      <c r="J17" s="2" t="s">
        <v>8</v>
      </c>
      <c r="K17" s="125">
        <v>1E-3</v>
      </c>
      <c r="L17" s="125">
        <v>1E-3</v>
      </c>
      <c r="M17" s="3">
        <v>0</v>
      </c>
      <c r="N17" s="54"/>
      <c r="O17" s="3" t="b">
        <v>0</v>
      </c>
      <c r="P17" s="3"/>
      <c r="Q17" s="54"/>
      <c r="R17" s="3"/>
    </row>
    <row r="18" spans="1:18" customFormat="1" x14ac:dyDescent="0.25">
      <c r="A18" s="4" t="b">
        <v>1</v>
      </c>
      <c r="B18" s="4" t="s">
        <v>240</v>
      </c>
      <c r="C18" s="4" t="s">
        <v>18</v>
      </c>
      <c r="D18" s="2" t="s">
        <v>32</v>
      </c>
      <c r="E18" s="2" t="s">
        <v>74</v>
      </c>
      <c r="F18" s="2" t="s">
        <v>182</v>
      </c>
      <c r="G18" s="2" t="s">
        <v>148</v>
      </c>
      <c r="H18" s="28" t="s">
        <v>161</v>
      </c>
      <c r="I18" s="28" t="s">
        <v>161</v>
      </c>
      <c r="J18" s="2" t="s">
        <v>8</v>
      </c>
      <c r="K18" s="126">
        <v>2E-3</v>
      </c>
      <c r="L18" s="126">
        <v>2E-3</v>
      </c>
      <c r="M18" s="3">
        <v>0</v>
      </c>
      <c r="N18" s="54"/>
      <c r="O18" s="3" t="b">
        <v>0</v>
      </c>
      <c r="P18" s="3"/>
      <c r="Q18" s="54"/>
      <c r="R18" s="3"/>
    </row>
    <row r="19" spans="1:18" customFormat="1" x14ac:dyDescent="0.25">
      <c r="A19" s="4" t="b">
        <v>1</v>
      </c>
      <c r="B19" s="4" t="s">
        <v>240</v>
      </c>
      <c r="C19" s="4" t="s">
        <v>18</v>
      </c>
      <c r="D19" s="2" t="s">
        <v>32</v>
      </c>
      <c r="E19" s="2" t="s">
        <v>40</v>
      </c>
      <c r="F19" s="2" t="s">
        <v>182</v>
      </c>
      <c r="G19" s="2" t="s">
        <v>149</v>
      </c>
      <c r="H19" s="28" t="s">
        <v>161</v>
      </c>
      <c r="I19" s="28" t="s">
        <v>161</v>
      </c>
      <c r="J19" s="2" t="s">
        <v>8</v>
      </c>
      <c r="K19" s="126">
        <v>2E-3</v>
      </c>
      <c r="L19" s="126">
        <v>2E-3</v>
      </c>
      <c r="M19" s="3">
        <v>0</v>
      </c>
      <c r="N19" s="54"/>
      <c r="O19" s="3" t="b">
        <v>0</v>
      </c>
      <c r="P19" s="3"/>
      <c r="Q19" s="54"/>
      <c r="R19" s="3"/>
    </row>
    <row r="20" spans="1:18" customFormat="1" x14ac:dyDescent="0.25">
      <c r="A20" s="4" t="b">
        <v>1</v>
      </c>
      <c r="B20" s="4" t="s">
        <v>240</v>
      </c>
      <c r="C20" s="4" t="s">
        <v>18</v>
      </c>
      <c r="D20" s="2" t="s">
        <v>32</v>
      </c>
      <c r="E20" s="2" t="s">
        <v>170</v>
      </c>
      <c r="F20" s="2" t="s">
        <v>182</v>
      </c>
      <c r="G20" s="2" t="s">
        <v>187</v>
      </c>
      <c r="H20" s="28" t="s">
        <v>161</v>
      </c>
      <c r="I20" s="28" t="s">
        <v>161</v>
      </c>
      <c r="J20" s="2" t="s">
        <v>8</v>
      </c>
      <c r="K20" s="126">
        <v>2E-3</v>
      </c>
      <c r="L20" s="126">
        <v>2E-3</v>
      </c>
      <c r="M20" s="3">
        <v>0</v>
      </c>
      <c r="N20" s="54"/>
      <c r="O20" s="3" t="b">
        <v>0</v>
      </c>
      <c r="P20" s="3"/>
      <c r="Q20" s="54"/>
      <c r="R20" s="3"/>
    </row>
    <row r="21" spans="1:18" customFormat="1" x14ac:dyDescent="0.25">
      <c r="A21" s="4" t="b">
        <v>0</v>
      </c>
      <c r="B21" s="4" t="s">
        <v>240</v>
      </c>
      <c r="C21" s="4" t="s">
        <v>18</v>
      </c>
      <c r="D21" s="2" t="s">
        <v>32</v>
      </c>
      <c r="E21" s="2" t="s">
        <v>38</v>
      </c>
      <c r="F21" s="2" t="s">
        <v>19</v>
      </c>
      <c r="G21" s="2" t="s">
        <v>162</v>
      </c>
      <c r="H21" s="28" t="s">
        <v>161</v>
      </c>
      <c r="I21" s="28" t="s">
        <v>161</v>
      </c>
      <c r="J21" s="2" t="s">
        <v>8</v>
      </c>
      <c r="K21" s="126">
        <v>2E-3</v>
      </c>
      <c r="L21" s="126">
        <v>4.0000000000000001E-3</v>
      </c>
      <c r="M21" s="3">
        <v>0</v>
      </c>
      <c r="N21" s="54"/>
      <c r="O21" s="3" t="b">
        <v>1</v>
      </c>
      <c r="P21" s="3"/>
      <c r="Q21" s="54"/>
      <c r="R21" s="3"/>
    </row>
    <row r="22" spans="1:18" customFormat="1" x14ac:dyDescent="0.25">
      <c r="A22" s="4" t="b">
        <v>0</v>
      </c>
      <c r="B22" s="4" t="s">
        <v>240</v>
      </c>
      <c r="C22" s="4" t="s">
        <v>18</v>
      </c>
      <c r="D22" s="2" t="s">
        <v>32</v>
      </c>
      <c r="E22" s="2" t="s">
        <v>74</v>
      </c>
      <c r="F22" s="2" t="s">
        <v>19</v>
      </c>
      <c r="G22" s="2" t="s">
        <v>163</v>
      </c>
      <c r="H22" s="28" t="s">
        <v>161</v>
      </c>
      <c r="I22" s="28" t="s">
        <v>161</v>
      </c>
      <c r="J22" s="2" t="s">
        <v>8</v>
      </c>
      <c r="K22" s="126">
        <v>2E-3</v>
      </c>
      <c r="L22" s="126">
        <v>4.0000000000000001E-3</v>
      </c>
      <c r="M22" s="3">
        <v>0</v>
      </c>
      <c r="N22" s="54"/>
      <c r="O22" s="3" t="b">
        <v>0</v>
      </c>
      <c r="P22" s="3"/>
      <c r="Q22" s="54"/>
      <c r="R22" s="3"/>
    </row>
    <row r="23" spans="1:18" customFormat="1" x14ac:dyDescent="0.25">
      <c r="A23" s="4" t="b">
        <v>0</v>
      </c>
      <c r="B23" s="4" t="s">
        <v>240</v>
      </c>
      <c r="C23" s="4" t="s">
        <v>18</v>
      </c>
      <c r="D23" s="2" t="s">
        <v>32</v>
      </c>
      <c r="E23" s="2" t="s">
        <v>40</v>
      </c>
      <c r="F23" s="2" t="s">
        <v>19</v>
      </c>
      <c r="G23" s="2" t="s">
        <v>35</v>
      </c>
      <c r="H23" s="28" t="s">
        <v>161</v>
      </c>
      <c r="I23" s="28" t="s">
        <v>161</v>
      </c>
      <c r="J23" s="2" t="s">
        <v>8</v>
      </c>
      <c r="K23" s="126">
        <v>2E-3</v>
      </c>
      <c r="L23" s="126">
        <v>4.0000000000000001E-3</v>
      </c>
      <c r="M23" s="3">
        <v>0</v>
      </c>
      <c r="N23" s="54"/>
      <c r="O23" s="3" t="b">
        <v>0</v>
      </c>
      <c r="P23" s="3"/>
      <c r="Q23" s="54"/>
      <c r="R23" s="3"/>
    </row>
    <row r="24" spans="1:18" customFormat="1" x14ac:dyDescent="0.25">
      <c r="A24" s="4" t="b">
        <v>1</v>
      </c>
      <c r="B24" s="4" t="s">
        <v>240</v>
      </c>
      <c r="C24" s="4" t="s">
        <v>18</v>
      </c>
      <c r="D24" s="2" t="s">
        <v>32</v>
      </c>
      <c r="E24" s="2" t="s">
        <v>170</v>
      </c>
      <c r="F24" s="2" t="s">
        <v>29</v>
      </c>
      <c r="G24" s="2" t="s">
        <v>185</v>
      </c>
      <c r="H24" s="28" t="s">
        <v>161</v>
      </c>
      <c r="I24" s="28" t="s">
        <v>161</v>
      </c>
      <c r="J24" s="2" t="s">
        <v>8</v>
      </c>
      <c r="K24" s="126">
        <v>2E-3</v>
      </c>
      <c r="L24" s="126">
        <v>2E-3</v>
      </c>
      <c r="M24" s="3">
        <v>0</v>
      </c>
      <c r="N24" s="54"/>
      <c r="O24" s="3" t="b">
        <v>0</v>
      </c>
      <c r="P24" s="3"/>
      <c r="Q24" s="54"/>
      <c r="R24" s="3"/>
    </row>
    <row r="25" spans="1:18" customFormat="1" x14ac:dyDescent="0.25">
      <c r="A25" s="4" t="b">
        <v>1</v>
      </c>
      <c r="B25" s="4" t="s">
        <v>240</v>
      </c>
      <c r="C25" s="4" t="s">
        <v>18</v>
      </c>
      <c r="D25" s="2" t="s">
        <v>32</v>
      </c>
      <c r="E25" s="2" t="s">
        <v>74</v>
      </c>
      <c r="F25" s="2" t="s">
        <v>29</v>
      </c>
      <c r="G25" s="2" t="s">
        <v>163</v>
      </c>
      <c r="H25" s="28" t="s">
        <v>161</v>
      </c>
      <c r="I25" s="28" t="s">
        <v>161</v>
      </c>
      <c r="J25" s="2" t="s">
        <v>8</v>
      </c>
      <c r="K25" s="126">
        <v>2E-3</v>
      </c>
      <c r="L25" s="126">
        <v>2E-3</v>
      </c>
      <c r="M25" s="3">
        <v>0</v>
      </c>
      <c r="N25" s="54"/>
      <c r="O25" s="3" t="b">
        <v>0</v>
      </c>
      <c r="P25" s="3"/>
      <c r="Q25" s="54"/>
      <c r="R25" s="3"/>
    </row>
    <row r="26" spans="1:18" customFormat="1" x14ac:dyDescent="0.25">
      <c r="A26" s="4" t="b">
        <v>1</v>
      </c>
      <c r="B26" s="4" t="s">
        <v>240</v>
      </c>
      <c r="C26" s="4" t="s">
        <v>18</v>
      </c>
      <c r="D26" s="2" t="s">
        <v>32</v>
      </c>
      <c r="E26" s="2" t="s">
        <v>40</v>
      </c>
      <c r="F26" s="2" t="s">
        <v>29</v>
      </c>
      <c r="G26" s="2" t="s">
        <v>35</v>
      </c>
      <c r="H26" s="28" t="s">
        <v>161</v>
      </c>
      <c r="I26" s="28" t="s">
        <v>161</v>
      </c>
      <c r="J26" s="2" t="s">
        <v>8</v>
      </c>
      <c r="K26" s="126">
        <v>2E-3</v>
      </c>
      <c r="L26" s="126">
        <v>2E-3</v>
      </c>
      <c r="M26" s="3">
        <v>0</v>
      </c>
      <c r="N26" s="54"/>
      <c r="O26" s="3" t="b">
        <v>0</v>
      </c>
      <c r="P26" s="3"/>
      <c r="Q26" s="54"/>
      <c r="R26" s="3"/>
    </row>
    <row r="27" spans="1:18" customFormat="1" x14ac:dyDescent="0.25">
      <c r="A27" s="4" t="b">
        <v>0</v>
      </c>
      <c r="B27" s="4" t="s">
        <v>240</v>
      </c>
      <c r="C27" s="4" t="s">
        <v>18</v>
      </c>
      <c r="D27" s="2" t="s">
        <v>32</v>
      </c>
      <c r="E27" s="2" t="s">
        <v>38</v>
      </c>
      <c r="F27" s="2" t="s">
        <v>5</v>
      </c>
      <c r="G27" s="2">
        <v>541686651</v>
      </c>
      <c r="H27" s="3" t="s">
        <v>34</v>
      </c>
      <c r="I27" s="3" t="s">
        <v>18</v>
      </c>
      <c r="J27" s="2" t="s">
        <v>20</v>
      </c>
      <c r="K27" s="58">
        <v>1.1999999999999999E-3</v>
      </c>
      <c r="L27" s="58">
        <v>1.1999999999999999E-3</v>
      </c>
      <c r="M27" s="28">
        <v>1.75</v>
      </c>
      <c r="N27" s="54">
        <v>46054</v>
      </c>
      <c r="O27" s="3" t="b">
        <v>1</v>
      </c>
      <c r="P27" s="3"/>
      <c r="Q27" s="54"/>
      <c r="R27" s="3"/>
    </row>
    <row r="28" spans="1:18" customFormat="1" x14ac:dyDescent="0.25">
      <c r="A28" s="4" t="b">
        <v>0</v>
      </c>
      <c r="B28" s="4" t="s">
        <v>240</v>
      </c>
      <c r="C28" s="4" t="s">
        <v>18</v>
      </c>
      <c r="D28" s="2" t="s">
        <v>32</v>
      </c>
      <c r="E28" s="2" t="s">
        <v>38</v>
      </c>
      <c r="F28" s="2" t="s">
        <v>169</v>
      </c>
      <c r="G28" s="20" t="s">
        <v>166</v>
      </c>
      <c r="H28" s="28" t="s">
        <v>161</v>
      </c>
      <c r="I28" s="28" t="s">
        <v>161</v>
      </c>
      <c r="J28" s="2" t="s">
        <v>8</v>
      </c>
      <c r="K28" s="126">
        <v>1.6000000000000001E-3</v>
      </c>
      <c r="L28" s="126">
        <v>2.5999999999999999E-3</v>
      </c>
      <c r="M28" s="3">
        <v>0</v>
      </c>
      <c r="N28" s="54"/>
      <c r="O28" s="3" t="b">
        <v>1</v>
      </c>
      <c r="P28" s="3"/>
      <c r="Q28" s="54"/>
      <c r="R28" s="3"/>
    </row>
    <row r="29" spans="1:18" customFormat="1" x14ac:dyDescent="0.25">
      <c r="A29" s="4" t="b">
        <v>0</v>
      </c>
      <c r="B29" s="4" t="s">
        <v>240</v>
      </c>
      <c r="C29" s="4" t="s">
        <v>18</v>
      </c>
      <c r="D29" s="2" t="s">
        <v>32</v>
      </c>
      <c r="E29" s="2" t="s">
        <v>170</v>
      </c>
      <c r="F29" s="2" t="s">
        <v>169</v>
      </c>
      <c r="G29" s="20" t="s">
        <v>186</v>
      </c>
      <c r="H29" s="28" t="s">
        <v>161</v>
      </c>
      <c r="I29" s="28" t="s">
        <v>161</v>
      </c>
      <c r="J29" s="2" t="s">
        <v>8</v>
      </c>
      <c r="K29" s="126">
        <v>1.6000000000000001E-3</v>
      </c>
      <c r="L29" s="126">
        <v>2.5999999999999999E-3</v>
      </c>
      <c r="M29" s="3">
        <v>0</v>
      </c>
      <c r="N29" s="54"/>
      <c r="O29" s="3" t="b">
        <v>0</v>
      </c>
      <c r="P29" s="3"/>
      <c r="Q29" s="54"/>
      <c r="R29" s="3"/>
    </row>
    <row r="30" spans="1:18" customFormat="1" x14ac:dyDescent="0.25">
      <c r="A30" s="4" t="b">
        <v>0</v>
      </c>
      <c r="B30" s="4" t="s">
        <v>240</v>
      </c>
      <c r="C30" s="4" t="s">
        <v>18</v>
      </c>
      <c r="D30" s="2" t="s">
        <v>32</v>
      </c>
      <c r="E30" s="2" t="s">
        <v>74</v>
      </c>
      <c r="F30" s="2" t="s">
        <v>169</v>
      </c>
      <c r="G30" s="20" t="s">
        <v>167</v>
      </c>
      <c r="H30" s="28" t="s">
        <v>161</v>
      </c>
      <c r="I30" s="28" t="s">
        <v>161</v>
      </c>
      <c r="J30" s="2" t="s">
        <v>8</v>
      </c>
      <c r="K30" s="126">
        <v>1.6000000000000001E-3</v>
      </c>
      <c r="L30" s="126">
        <v>2.5999999999999999E-3</v>
      </c>
      <c r="M30" s="3">
        <v>0</v>
      </c>
      <c r="N30" s="54"/>
      <c r="O30" s="3" t="b">
        <v>0</v>
      </c>
      <c r="P30" s="3"/>
      <c r="Q30" s="54"/>
      <c r="R30" s="3"/>
    </row>
    <row r="31" spans="1:18" customFormat="1" x14ac:dyDescent="0.25">
      <c r="A31" s="4" t="b">
        <v>0</v>
      </c>
      <c r="B31" s="4" t="s">
        <v>240</v>
      </c>
      <c r="C31" s="4" t="s">
        <v>18</v>
      </c>
      <c r="D31" s="2" t="s">
        <v>32</v>
      </c>
      <c r="E31" s="2" t="s">
        <v>40</v>
      </c>
      <c r="F31" s="2" t="s">
        <v>169</v>
      </c>
      <c r="G31" s="20" t="s">
        <v>168</v>
      </c>
      <c r="H31" s="28" t="s">
        <v>161</v>
      </c>
      <c r="I31" s="28" t="s">
        <v>161</v>
      </c>
      <c r="J31" s="2" t="s">
        <v>8</v>
      </c>
      <c r="K31" s="126">
        <v>1.6000000000000001E-3</v>
      </c>
      <c r="L31" s="126">
        <v>2.5999999999999999E-3</v>
      </c>
      <c r="M31" s="3">
        <v>0</v>
      </c>
      <c r="N31" s="54"/>
      <c r="O31" s="3" t="b">
        <v>0</v>
      </c>
      <c r="P31" s="3"/>
      <c r="Q31" s="54"/>
      <c r="R31" s="3"/>
    </row>
    <row r="32" spans="1:18" customFormat="1" x14ac:dyDescent="0.25">
      <c r="A32" s="4" t="b">
        <v>1</v>
      </c>
      <c r="B32" s="4" t="s">
        <v>240</v>
      </c>
      <c r="C32" s="4" t="s">
        <v>18</v>
      </c>
      <c r="D32" s="2" t="s">
        <v>32</v>
      </c>
      <c r="E32" s="2" t="s">
        <v>170</v>
      </c>
      <c r="F32" s="2" t="s">
        <v>171</v>
      </c>
      <c r="G32" s="2" t="s">
        <v>170</v>
      </c>
      <c r="H32" s="28" t="s">
        <v>161</v>
      </c>
      <c r="I32" s="28" t="s">
        <v>161</v>
      </c>
      <c r="J32" s="2" t="s">
        <v>8</v>
      </c>
      <c r="K32" s="126">
        <v>1E-3</v>
      </c>
      <c r="L32" s="126">
        <v>1E-3</v>
      </c>
      <c r="M32" s="3">
        <v>0</v>
      </c>
      <c r="N32" s="54"/>
      <c r="O32" s="3" t="b">
        <v>0</v>
      </c>
      <c r="P32" s="3"/>
      <c r="Q32" s="54"/>
      <c r="R32" s="3"/>
    </row>
    <row r="33" spans="1:26" customFormat="1" x14ac:dyDescent="0.25">
      <c r="A33" s="4" t="b">
        <v>1</v>
      </c>
      <c r="B33" s="4" t="s">
        <v>240</v>
      </c>
      <c r="C33" s="4" t="s">
        <v>18</v>
      </c>
      <c r="D33" s="2" t="s">
        <v>32</v>
      </c>
      <c r="E33" s="2" t="s">
        <v>74</v>
      </c>
      <c r="F33" s="2" t="s">
        <v>171</v>
      </c>
      <c r="G33" s="2" t="s">
        <v>74</v>
      </c>
      <c r="H33" s="28" t="s">
        <v>161</v>
      </c>
      <c r="I33" s="28" t="s">
        <v>161</v>
      </c>
      <c r="J33" s="2" t="s">
        <v>8</v>
      </c>
      <c r="K33" s="126">
        <v>1E-3</v>
      </c>
      <c r="L33" s="126">
        <v>1E-3</v>
      </c>
      <c r="M33" s="3">
        <v>0</v>
      </c>
      <c r="N33" s="54"/>
      <c r="O33" s="3" t="b">
        <v>0</v>
      </c>
      <c r="P33" s="3"/>
      <c r="Q33" s="54"/>
      <c r="R33" s="3"/>
    </row>
    <row r="34" spans="1:26" customFormat="1" x14ac:dyDescent="0.25">
      <c r="A34" s="4" t="b">
        <v>1</v>
      </c>
      <c r="B34" s="4" t="s">
        <v>240</v>
      </c>
      <c r="C34" s="4" t="s">
        <v>18</v>
      </c>
      <c r="D34" s="2" t="s">
        <v>32</v>
      </c>
      <c r="E34" s="2" t="s">
        <v>40</v>
      </c>
      <c r="F34" s="2" t="s">
        <v>171</v>
      </c>
      <c r="G34" s="2" t="s">
        <v>40</v>
      </c>
      <c r="H34" s="28" t="s">
        <v>161</v>
      </c>
      <c r="I34" s="28" t="s">
        <v>161</v>
      </c>
      <c r="J34" s="2" t="s">
        <v>8</v>
      </c>
      <c r="K34" s="126">
        <v>1E-3</v>
      </c>
      <c r="L34" s="126">
        <v>1E-3</v>
      </c>
      <c r="M34" s="3">
        <v>0</v>
      </c>
      <c r="N34" s="54"/>
      <c r="O34" s="3" t="b">
        <v>0</v>
      </c>
      <c r="P34" s="3"/>
      <c r="Q34" s="54"/>
      <c r="R34" s="3"/>
    </row>
    <row r="35" spans="1:26" s="102" customFormat="1" x14ac:dyDescent="0.25">
      <c r="A35" s="95" t="b">
        <v>1</v>
      </c>
      <c r="B35" s="4" t="s">
        <v>240</v>
      </c>
      <c r="C35" s="4" t="s">
        <v>18</v>
      </c>
      <c r="D35" s="85" t="s">
        <v>32</v>
      </c>
      <c r="E35" s="85" t="s">
        <v>170</v>
      </c>
      <c r="F35" s="85" t="s">
        <v>181</v>
      </c>
      <c r="G35" s="96" t="s">
        <v>172</v>
      </c>
      <c r="H35" s="97" t="s">
        <v>161</v>
      </c>
      <c r="I35" s="97" t="s">
        <v>161</v>
      </c>
      <c r="J35" s="98" t="s">
        <v>8</v>
      </c>
      <c r="K35" s="99">
        <v>0</v>
      </c>
      <c r="L35" s="99">
        <v>0</v>
      </c>
      <c r="M35" s="100">
        <v>0</v>
      </c>
      <c r="N35" s="101"/>
      <c r="O35" s="3" t="b">
        <v>0</v>
      </c>
      <c r="P35" s="100"/>
      <c r="Q35" s="101"/>
      <c r="R35" s="100"/>
    </row>
    <row r="36" spans="1:26" s="102" customFormat="1" x14ac:dyDescent="0.25">
      <c r="A36" s="95" t="b">
        <v>1</v>
      </c>
      <c r="B36" s="4" t="s">
        <v>240</v>
      </c>
      <c r="C36" s="4" t="s">
        <v>18</v>
      </c>
      <c r="D36" s="85" t="s">
        <v>32</v>
      </c>
      <c r="E36" s="85" t="s">
        <v>74</v>
      </c>
      <c r="F36" s="85" t="s">
        <v>181</v>
      </c>
      <c r="G36" s="96" t="s">
        <v>164</v>
      </c>
      <c r="H36" s="97" t="s">
        <v>161</v>
      </c>
      <c r="I36" s="97" t="s">
        <v>161</v>
      </c>
      <c r="J36" s="98" t="s">
        <v>8</v>
      </c>
      <c r="K36" s="99">
        <v>0</v>
      </c>
      <c r="L36" s="99">
        <v>0</v>
      </c>
      <c r="M36" s="100">
        <v>0</v>
      </c>
      <c r="N36" s="101"/>
      <c r="O36" s="3" t="b">
        <v>0</v>
      </c>
      <c r="P36" s="100"/>
      <c r="Q36" s="101"/>
      <c r="R36" s="100"/>
    </row>
    <row r="37" spans="1:26" s="102" customFormat="1" x14ac:dyDescent="0.25">
      <c r="A37" s="95" t="b">
        <v>1</v>
      </c>
      <c r="B37" s="4" t="s">
        <v>240</v>
      </c>
      <c r="C37" s="4" t="s">
        <v>18</v>
      </c>
      <c r="D37" s="85" t="s">
        <v>32</v>
      </c>
      <c r="E37" s="85" t="s">
        <v>40</v>
      </c>
      <c r="F37" s="85" t="s">
        <v>181</v>
      </c>
      <c r="G37" s="96" t="s">
        <v>37</v>
      </c>
      <c r="H37" s="97" t="s">
        <v>161</v>
      </c>
      <c r="I37" s="97" t="s">
        <v>161</v>
      </c>
      <c r="J37" s="98" t="s">
        <v>8</v>
      </c>
      <c r="K37" s="99">
        <v>0</v>
      </c>
      <c r="L37" s="99">
        <v>0</v>
      </c>
      <c r="M37" s="100">
        <v>0</v>
      </c>
      <c r="N37" s="101"/>
      <c r="O37" s="3" t="b">
        <v>0</v>
      </c>
      <c r="P37" s="100"/>
      <c r="Q37" s="101"/>
      <c r="R37" s="100"/>
    </row>
    <row r="38" spans="1:26" customFormat="1" x14ac:dyDescent="0.25">
      <c r="A38" s="4" t="b">
        <v>1</v>
      </c>
      <c r="B38" s="4" t="s">
        <v>240</v>
      </c>
      <c r="C38" s="4" t="s">
        <v>18</v>
      </c>
      <c r="D38" s="2" t="s">
        <v>32</v>
      </c>
      <c r="E38" s="2" t="s">
        <v>38</v>
      </c>
      <c r="F38" s="2" t="s">
        <v>28</v>
      </c>
      <c r="G38" s="2" t="s">
        <v>38</v>
      </c>
      <c r="H38" s="28" t="s">
        <v>161</v>
      </c>
      <c r="I38" s="28" t="s">
        <v>161</v>
      </c>
      <c r="J38" s="2" t="s">
        <v>8</v>
      </c>
      <c r="K38" s="126">
        <v>8.0000000000000004E-4</v>
      </c>
      <c r="L38" s="126">
        <v>1E-3</v>
      </c>
      <c r="M38" s="3">
        <v>0</v>
      </c>
      <c r="N38" s="54"/>
      <c r="O38" s="3" t="b">
        <v>0</v>
      </c>
      <c r="P38" s="3"/>
      <c r="Q38" s="54"/>
      <c r="R38" s="3"/>
    </row>
    <row r="39" spans="1:26" customFormat="1" x14ac:dyDescent="0.25">
      <c r="A39" s="4" t="b">
        <v>1</v>
      </c>
      <c r="B39" s="4" t="s">
        <v>240</v>
      </c>
      <c r="C39" s="4" t="s">
        <v>18</v>
      </c>
      <c r="D39" s="2" t="s">
        <v>32</v>
      </c>
      <c r="E39" s="2" t="s">
        <v>74</v>
      </c>
      <c r="F39" s="2" t="s">
        <v>28</v>
      </c>
      <c r="G39" s="2" t="s">
        <v>74</v>
      </c>
      <c r="H39" s="28" t="s">
        <v>161</v>
      </c>
      <c r="I39" s="28" t="s">
        <v>161</v>
      </c>
      <c r="J39" s="2" t="s">
        <v>8</v>
      </c>
      <c r="K39" s="126">
        <v>8.0000000000000004E-4</v>
      </c>
      <c r="L39" s="126">
        <v>1E-3</v>
      </c>
      <c r="M39" s="3">
        <v>0</v>
      </c>
      <c r="N39" s="54"/>
      <c r="O39" s="3" t="b">
        <v>0</v>
      </c>
      <c r="P39" s="3"/>
      <c r="Q39" s="54"/>
      <c r="R39" s="3"/>
    </row>
    <row r="40" spans="1:26" customFormat="1" x14ac:dyDescent="0.25">
      <c r="A40" s="4" t="b">
        <v>1</v>
      </c>
      <c r="B40" s="4" t="s">
        <v>240</v>
      </c>
      <c r="C40" s="4" t="s">
        <v>18</v>
      </c>
      <c r="D40" s="2" t="s">
        <v>32</v>
      </c>
      <c r="E40" s="2" t="s">
        <v>40</v>
      </c>
      <c r="F40" s="2" t="s">
        <v>28</v>
      </c>
      <c r="G40" s="2" t="s">
        <v>40</v>
      </c>
      <c r="H40" s="28" t="s">
        <v>161</v>
      </c>
      <c r="I40" s="28" t="s">
        <v>161</v>
      </c>
      <c r="J40" s="2" t="s">
        <v>8</v>
      </c>
      <c r="K40" s="126">
        <v>8.0000000000000004E-4</v>
      </c>
      <c r="L40" s="126">
        <v>1E-3</v>
      </c>
      <c r="M40" s="3">
        <v>0</v>
      </c>
      <c r="N40" s="54"/>
      <c r="O40" s="3" t="b">
        <v>0</v>
      </c>
      <c r="P40" s="3"/>
      <c r="Q40" s="54"/>
      <c r="R40" s="3"/>
    </row>
    <row r="41" spans="1:26" customFormat="1" x14ac:dyDescent="0.25">
      <c r="A41" s="4" t="b">
        <v>1</v>
      </c>
      <c r="B41" s="4" t="s">
        <v>240</v>
      </c>
      <c r="C41" s="4" t="s">
        <v>18</v>
      </c>
      <c r="D41" s="2" t="s">
        <v>32</v>
      </c>
      <c r="E41" s="2" t="s">
        <v>74</v>
      </c>
      <c r="F41" s="2" t="s">
        <v>146</v>
      </c>
      <c r="G41" s="2" t="s">
        <v>189</v>
      </c>
      <c r="H41" s="28" t="s">
        <v>161</v>
      </c>
      <c r="I41" s="28" t="s">
        <v>161</v>
      </c>
      <c r="J41" s="2" t="s">
        <v>8</v>
      </c>
      <c r="K41" s="126">
        <v>1E-3</v>
      </c>
      <c r="L41" s="126">
        <v>1E-3</v>
      </c>
      <c r="M41" s="3">
        <v>0</v>
      </c>
      <c r="N41" s="54"/>
      <c r="O41" s="3" t="b">
        <v>0</v>
      </c>
      <c r="P41" s="3"/>
      <c r="Q41" s="54"/>
      <c r="R41" s="3"/>
    </row>
    <row r="42" spans="1:26" customFormat="1" x14ac:dyDescent="0.25">
      <c r="A42" s="4" t="b">
        <v>1</v>
      </c>
      <c r="B42" s="4" t="s">
        <v>240</v>
      </c>
      <c r="C42" s="4" t="s">
        <v>18</v>
      </c>
      <c r="D42" s="2" t="s">
        <v>32</v>
      </c>
      <c r="E42" s="2" t="s">
        <v>40</v>
      </c>
      <c r="F42" s="2" t="s">
        <v>146</v>
      </c>
      <c r="G42" s="2" t="s">
        <v>188</v>
      </c>
      <c r="H42" s="28" t="s">
        <v>161</v>
      </c>
      <c r="I42" s="28" t="s">
        <v>161</v>
      </c>
      <c r="J42" s="2" t="s">
        <v>8</v>
      </c>
      <c r="K42" s="126">
        <v>1E-3</v>
      </c>
      <c r="L42" s="126">
        <v>1E-3</v>
      </c>
      <c r="M42" s="3">
        <v>0</v>
      </c>
      <c r="N42" s="54"/>
      <c r="O42" s="3" t="b">
        <v>0</v>
      </c>
      <c r="P42" s="3"/>
      <c r="Q42" s="54"/>
      <c r="R42" s="3"/>
    </row>
    <row r="43" spans="1:26" customFormat="1" x14ac:dyDescent="0.25">
      <c r="A43" s="4" t="b">
        <v>1</v>
      </c>
      <c r="B43" s="4" t="s">
        <v>240</v>
      </c>
      <c r="C43" s="4" t="s">
        <v>18</v>
      </c>
      <c r="D43" s="2" t="s">
        <v>3</v>
      </c>
      <c r="E43" s="2" t="s">
        <v>115</v>
      </c>
      <c r="F43" s="2" t="s">
        <v>144</v>
      </c>
      <c r="G43" s="2" t="s">
        <v>211</v>
      </c>
      <c r="H43" s="38" t="s">
        <v>34</v>
      </c>
      <c r="I43" s="38" t="s">
        <v>18</v>
      </c>
      <c r="J43" s="7" t="s">
        <v>9</v>
      </c>
      <c r="K43" s="31">
        <v>12.52</v>
      </c>
      <c r="L43" s="31">
        <v>12.52</v>
      </c>
      <c r="M43" s="38">
        <v>0</v>
      </c>
      <c r="N43" s="127">
        <v>46054</v>
      </c>
      <c r="O43" s="3" t="b">
        <v>0</v>
      </c>
      <c r="P43" s="3"/>
      <c r="Q43" s="54"/>
      <c r="R43" s="3"/>
    </row>
    <row r="44" spans="1:26" customFormat="1" x14ac:dyDescent="0.25">
      <c r="A44" s="4" t="b">
        <v>1</v>
      </c>
      <c r="B44" s="4" t="s">
        <v>240</v>
      </c>
      <c r="C44" s="4" t="s">
        <v>18</v>
      </c>
      <c r="D44" s="2" t="s">
        <v>3</v>
      </c>
      <c r="E44" s="2" t="s">
        <v>116</v>
      </c>
      <c r="F44" s="2" t="s">
        <v>144</v>
      </c>
      <c r="G44" s="2" t="s">
        <v>212</v>
      </c>
      <c r="H44" s="38" t="s">
        <v>34</v>
      </c>
      <c r="I44" s="38" t="s">
        <v>18</v>
      </c>
      <c r="J44" s="7" t="s">
        <v>9</v>
      </c>
      <c r="K44" s="31">
        <v>12.52</v>
      </c>
      <c r="L44" s="31">
        <v>12.52</v>
      </c>
      <c r="M44" s="38">
        <v>0</v>
      </c>
      <c r="N44" s="127">
        <v>46054</v>
      </c>
      <c r="O44" s="3" t="b">
        <v>0</v>
      </c>
      <c r="P44" s="3"/>
      <c r="Q44" s="54"/>
      <c r="R44" s="3"/>
    </row>
    <row r="45" spans="1:26" customFormat="1" x14ac:dyDescent="0.25">
      <c r="A45" s="4" t="b">
        <v>1</v>
      </c>
      <c r="B45" s="4" t="s">
        <v>240</v>
      </c>
      <c r="C45" s="4" t="s">
        <v>18</v>
      </c>
      <c r="D45" s="2" t="s">
        <v>3</v>
      </c>
      <c r="E45" s="2" t="s">
        <v>117</v>
      </c>
      <c r="F45" s="2" t="s">
        <v>144</v>
      </c>
      <c r="G45" s="2" t="s">
        <v>213</v>
      </c>
      <c r="H45" s="38" t="s">
        <v>34</v>
      </c>
      <c r="I45" s="38" t="s">
        <v>18</v>
      </c>
      <c r="J45" s="7" t="s">
        <v>9</v>
      </c>
      <c r="K45" s="31">
        <v>12.52</v>
      </c>
      <c r="L45" s="31">
        <v>12.52</v>
      </c>
      <c r="M45" s="38">
        <v>0</v>
      </c>
      <c r="N45" s="127">
        <v>46054</v>
      </c>
      <c r="O45" s="3" t="b">
        <v>0</v>
      </c>
      <c r="P45" s="3"/>
      <c r="Q45" s="54"/>
      <c r="R45" s="3"/>
    </row>
    <row r="46" spans="1:26" s="25" customFormat="1" x14ac:dyDescent="0.25">
      <c r="A46" s="4" t="b">
        <v>1</v>
      </c>
      <c r="B46" s="4" t="s">
        <v>240</v>
      </c>
      <c r="C46" s="4" t="s">
        <v>18</v>
      </c>
      <c r="D46" s="2" t="s">
        <v>3</v>
      </c>
      <c r="E46" s="2" t="s">
        <v>115</v>
      </c>
      <c r="F46" s="2" t="s">
        <v>22</v>
      </c>
      <c r="G46" s="2" t="s">
        <v>145</v>
      </c>
      <c r="H46" s="28" t="s">
        <v>161</v>
      </c>
      <c r="I46" s="28" t="s">
        <v>161</v>
      </c>
      <c r="J46" s="2" t="s">
        <v>9</v>
      </c>
      <c r="K46" s="28" t="s">
        <v>161</v>
      </c>
      <c r="L46" s="28" t="s">
        <v>161</v>
      </c>
      <c r="M46" s="3">
        <v>0</v>
      </c>
      <c r="N46" s="54"/>
      <c r="O46" s="3" t="b">
        <v>0</v>
      </c>
      <c r="P46" s="3"/>
      <c r="Q46" s="54"/>
      <c r="R46" s="3"/>
      <c r="Y46" s="2"/>
      <c r="Z46" s="5"/>
    </row>
    <row r="47" spans="1:26" s="25" customFormat="1" x14ac:dyDescent="0.25">
      <c r="A47" s="4" t="b">
        <v>1</v>
      </c>
      <c r="B47" s="4" t="s">
        <v>240</v>
      </c>
      <c r="C47" s="4" t="s">
        <v>18</v>
      </c>
      <c r="D47" s="2" t="s">
        <v>3</v>
      </c>
      <c r="E47" s="2" t="s">
        <v>116</v>
      </c>
      <c r="F47" s="2" t="s">
        <v>22</v>
      </c>
      <c r="G47" s="2" t="s">
        <v>209</v>
      </c>
      <c r="H47" s="28" t="s">
        <v>161</v>
      </c>
      <c r="I47" s="28" t="s">
        <v>161</v>
      </c>
      <c r="J47" s="2" t="s">
        <v>9</v>
      </c>
      <c r="K47" s="28" t="s">
        <v>161</v>
      </c>
      <c r="L47" s="28" t="s">
        <v>161</v>
      </c>
      <c r="M47" s="3">
        <v>0</v>
      </c>
      <c r="N47" s="54"/>
      <c r="O47" s="3" t="b">
        <v>0</v>
      </c>
      <c r="P47" s="3"/>
      <c r="Q47" s="54"/>
      <c r="R47" s="3"/>
      <c r="Y47" s="2"/>
      <c r="Z47" s="5"/>
    </row>
    <row r="48" spans="1:26" s="25" customFormat="1" x14ac:dyDescent="0.25">
      <c r="A48" s="4" t="b">
        <v>1</v>
      </c>
      <c r="B48" s="4" t="s">
        <v>240</v>
      </c>
      <c r="C48" s="4" t="s">
        <v>18</v>
      </c>
      <c r="D48" s="2" t="s">
        <v>3</v>
      </c>
      <c r="E48" s="2" t="s">
        <v>117</v>
      </c>
      <c r="F48" s="2" t="s">
        <v>22</v>
      </c>
      <c r="G48" s="2" t="s">
        <v>210</v>
      </c>
      <c r="H48" s="28" t="s">
        <v>161</v>
      </c>
      <c r="I48" s="28" t="s">
        <v>161</v>
      </c>
      <c r="J48" s="2" t="s">
        <v>9</v>
      </c>
      <c r="K48" s="28" t="s">
        <v>161</v>
      </c>
      <c r="L48" s="28" t="s">
        <v>161</v>
      </c>
      <c r="M48" s="3">
        <v>0</v>
      </c>
      <c r="N48" s="54"/>
      <c r="O48" s="3" t="b">
        <v>0</v>
      </c>
      <c r="P48" s="3"/>
      <c r="Q48" s="54"/>
      <c r="R48" s="3"/>
      <c r="Y48" s="2"/>
      <c r="Z48" s="5"/>
    </row>
    <row r="49" spans="1:26" x14ac:dyDescent="0.25">
      <c r="A49" s="4" t="b">
        <v>1</v>
      </c>
      <c r="B49" s="4" t="s">
        <v>240</v>
      </c>
      <c r="C49" s="4" t="s">
        <v>18</v>
      </c>
      <c r="D49" s="2" t="s">
        <v>3</v>
      </c>
      <c r="E49" s="2" t="s">
        <v>118</v>
      </c>
      <c r="F49" s="2" t="s">
        <v>22</v>
      </c>
      <c r="G49" s="2" t="s">
        <v>150</v>
      </c>
      <c r="H49" s="28" t="s">
        <v>161</v>
      </c>
      <c r="I49" s="28" t="s">
        <v>161</v>
      </c>
      <c r="J49" s="2" t="s">
        <v>9</v>
      </c>
      <c r="K49" s="28" t="s">
        <v>161</v>
      </c>
      <c r="L49" s="28" t="s">
        <v>161</v>
      </c>
      <c r="M49" s="3">
        <v>0</v>
      </c>
      <c r="N49" s="54"/>
      <c r="O49" s="3" t="b">
        <v>0</v>
      </c>
      <c r="P49" s="3"/>
      <c r="Q49" s="54"/>
      <c r="R49" s="3"/>
      <c r="T49" s="2"/>
      <c r="V49" s="28"/>
      <c r="W49" s="2"/>
      <c r="Z49" s="5"/>
    </row>
    <row r="50" spans="1:26" s="20" customFormat="1" x14ac:dyDescent="0.25">
      <c r="A50" s="4" t="b">
        <v>1</v>
      </c>
      <c r="B50" s="4" t="s">
        <v>240</v>
      </c>
      <c r="C50" s="4" t="s">
        <v>18</v>
      </c>
      <c r="D50" s="2" t="s">
        <v>3</v>
      </c>
      <c r="E50" s="2" t="s">
        <v>194</v>
      </c>
      <c r="F50" s="2" t="s">
        <v>22</v>
      </c>
      <c r="G50" s="2" t="s">
        <v>151</v>
      </c>
      <c r="H50" s="28" t="s">
        <v>161</v>
      </c>
      <c r="I50" s="28" t="s">
        <v>161</v>
      </c>
      <c r="J50" s="2" t="s">
        <v>9</v>
      </c>
      <c r="K50" s="28" t="s">
        <v>161</v>
      </c>
      <c r="L50" s="28" t="s">
        <v>161</v>
      </c>
      <c r="M50" s="3">
        <v>0</v>
      </c>
      <c r="N50" s="54"/>
      <c r="O50" s="3" t="b">
        <v>0</v>
      </c>
      <c r="P50" s="3"/>
      <c r="Q50" s="54"/>
      <c r="R50" s="3"/>
      <c r="Y50" s="2"/>
      <c r="Z50" s="5"/>
    </row>
    <row r="51" spans="1:26" s="20" customFormat="1" x14ac:dyDescent="0.25">
      <c r="A51" s="4" t="b">
        <v>1</v>
      </c>
      <c r="B51" s="4" t="s">
        <v>240</v>
      </c>
      <c r="C51" s="4" t="s">
        <v>18</v>
      </c>
      <c r="D51" s="2" t="s">
        <v>3</v>
      </c>
      <c r="E51" s="2" t="s">
        <v>195</v>
      </c>
      <c r="F51" s="2" t="s">
        <v>22</v>
      </c>
      <c r="G51" s="2" t="s">
        <v>152</v>
      </c>
      <c r="H51" s="28" t="s">
        <v>161</v>
      </c>
      <c r="I51" s="28" t="s">
        <v>161</v>
      </c>
      <c r="J51" s="2" t="s">
        <v>9</v>
      </c>
      <c r="K51" s="28" t="s">
        <v>161</v>
      </c>
      <c r="L51" s="28" t="s">
        <v>161</v>
      </c>
      <c r="M51" s="3">
        <v>0</v>
      </c>
      <c r="N51" s="54"/>
      <c r="O51" s="3" t="b">
        <v>0</v>
      </c>
      <c r="P51" s="3"/>
      <c r="Q51" s="54"/>
      <c r="R51" s="3"/>
      <c r="Y51" s="2"/>
      <c r="Z51" s="5"/>
    </row>
    <row r="52" spans="1:26" s="20" customFormat="1" x14ac:dyDescent="0.25">
      <c r="A52" s="4" t="b">
        <v>0</v>
      </c>
      <c r="B52" s="4" t="s">
        <v>240</v>
      </c>
      <c r="C52" s="4" t="s">
        <v>18</v>
      </c>
      <c r="D52" s="2" t="s">
        <v>3</v>
      </c>
      <c r="E52" s="2" t="s">
        <v>117</v>
      </c>
      <c r="F52" s="2" t="s">
        <v>5</v>
      </c>
      <c r="G52" s="2">
        <v>859040542</v>
      </c>
      <c r="H52" s="3" t="s">
        <v>34</v>
      </c>
      <c r="I52" s="3" t="s">
        <v>18</v>
      </c>
      <c r="J52" s="2" t="s">
        <v>9</v>
      </c>
      <c r="K52" s="28">
        <v>12.52</v>
      </c>
      <c r="L52" s="28">
        <v>12.52</v>
      </c>
      <c r="M52" s="3">
        <v>0</v>
      </c>
      <c r="N52" s="54">
        <v>46054</v>
      </c>
      <c r="O52" s="3" t="b">
        <v>1</v>
      </c>
      <c r="P52" s="3"/>
      <c r="Q52" s="54"/>
      <c r="R52" s="3"/>
      <c r="Y52" s="2"/>
      <c r="Z52" s="5"/>
    </row>
    <row r="53" spans="1:26" s="20" customFormat="1" x14ac:dyDescent="0.25">
      <c r="A53" s="4" t="b">
        <v>0</v>
      </c>
      <c r="B53" s="4" t="s">
        <v>240</v>
      </c>
      <c r="C53" s="4" t="s">
        <v>18</v>
      </c>
      <c r="D53" s="2" t="s">
        <v>3</v>
      </c>
      <c r="E53" s="2" t="s">
        <v>118</v>
      </c>
      <c r="F53" s="2" t="s">
        <v>5</v>
      </c>
      <c r="G53" s="2">
        <v>772435574</v>
      </c>
      <c r="H53" s="3" t="s">
        <v>34</v>
      </c>
      <c r="I53" s="3" t="s">
        <v>18</v>
      </c>
      <c r="J53" s="2" t="s">
        <v>9</v>
      </c>
      <c r="K53" s="28">
        <v>12.52</v>
      </c>
      <c r="L53" s="28">
        <v>12.52</v>
      </c>
      <c r="M53" s="3">
        <v>0</v>
      </c>
      <c r="N53" s="54">
        <v>46054</v>
      </c>
      <c r="O53" s="3" t="b">
        <v>1</v>
      </c>
      <c r="P53" s="3"/>
      <c r="Q53" s="54"/>
      <c r="R53" s="3"/>
      <c r="Y53" s="2"/>
      <c r="Z53" s="5"/>
    </row>
    <row r="54" spans="1:26" s="15" customFormat="1" x14ac:dyDescent="0.25">
      <c r="A54" s="4" t="b">
        <v>0</v>
      </c>
      <c r="B54" s="4" t="s">
        <v>240</v>
      </c>
      <c r="C54" s="4" t="s">
        <v>18</v>
      </c>
      <c r="D54" s="2" t="s">
        <v>3</v>
      </c>
      <c r="E54" s="2" t="s">
        <v>207</v>
      </c>
      <c r="F54" s="2" t="s">
        <v>5</v>
      </c>
      <c r="G54" s="2">
        <v>876880607</v>
      </c>
      <c r="H54" s="3" t="s">
        <v>34</v>
      </c>
      <c r="I54" s="3" t="s">
        <v>18</v>
      </c>
      <c r="J54" s="2" t="s">
        <v>9</v>
      </c>
      <c r="K54" s="28">
        <v>12.52</v>
      </c>
      <c r="L54" s="28">
        <v>12.52</v>
      </c>
      <c r="M54" s="3">
        <v>0</v>
      </c>
      <c r="N54" s="54">
        <v>46054</v>
      </c>
      <c r="O54" s="3" t="b">
        <v>1</v>
      </c>
      <c r="P54" s="3"/>
      <c r="Q54" s="54"/>
      <c r="R54" s="3"/>
      <c r="Y54" s="2"/>
      <c r="Z54" s="3"/>
    </row>
    <row r="55" spans="1:26" s="15" customFormat="1" x14ac:dyDescent="0.25">
      <c r="A55" s="4" t="b">
        <v>0</v>
      </c>
      <c r="B55" s="4" t="s">
        <v>240</v>
      </c>
      <c r="C55" s="4" t="s">
        <v>18</v>
      </c>
      <c r="D55" s="2" t="s">
        <v>3</v>
      </c>
      <c r="E55" s="2" t="s">
        <v>208</v>
      </c>
      <c r="F55" s="2" t="s">
        <v>5</v>
      </c>
      <c r="G55" s="2">
        <v>887699043</v>
      </c>
      <c r="H55" s="3" t="s">
        <v>34</v>
      </c>
      <c r="I55" s="3" t="s">
        <v>18</v>
      </c>
      <c r="J55" s="2" t="s">
        <v>9</v>
      </c>
      <c r="K55" s="28">
        <v>12.52</v>
      </c>
      <c r="L55" s="28">
        <v>12.52</v>
      </c>
      <c r="M55" s="3">
        <v>0</v>
      </c>
      <c r="N55" s="54">
        <v>46054</v>
      </c>
      <c r="O55" s="3" t="b">
        <v>1</v>
      </c>
      <c r="P55" s="3"/>
      <c r="Q55" s="54"/>
      <c r="R55" s="3"/>
      <c r="Y55" s="2"/>
      <c r="Z55" s="3"/>
    </row>
    <row r="56" spans="1:26" s="15" customFormat="1" x14ac:dyDescent="0.25">
      <c r="A56" s="4" t="b">
        <v>0</v>
      </c>
      <c r="B56" s="4" t="s">
        <v>240</v>
      </c>
      <c r="C56" s="4" t="s">
        <v>18</v>
      </c>
      <c r="D56" s="2" t="s">
        <v>3</v>
      </c>
      <c r="E56" s="2" t="s">
        <v>194</v>
      </c>
      <c r="F56" s="2" t="s">
        <v>5</v>
      </c>
      <c r="G56" s="135">
        <v>751356958</v>
      </c>
      <c r="H56" s="3" t="s">
        <v>34</v>
      </c>
      <c r="I56" s="3" t="s">
        <v>18</v>
      </c>
      <c r="J56" s="2" t="s">
        <v>9</v>
      </c>
      <c r="K56" s="28">
        <v>12.52</v>
      </c>
      <c r="L56" s="28">
        <v>12.52</v>
      </c>
      <c r="M56" s="3">
        <v>0</v>
      </c>
      <c r="N56" s="54">
        <v>46054</v>
      </c>
      <c r="O56" s="3" t="b">
        <v>1</v>
      </c>
      <c r="P56" s="3"/>
      <c r="Q56" s="54"/>
      <c r="R56" s="3"/>
      <c r="Y56" s="2"/>
      <c r="Z56" s="3"/>
    </row>
    <row r="57" spans="1:26" s="20" customFormat="1" x14ac:dyDescent="0.25">
      <c r="A57" s="4" t="b">
        <v>0</v>
      </c>
      <c r="B57" s="4" t="s">
        <v>240</v>
      </c>
      <c r="C57" s="4" t="s">
        <v>18</v>
      </c>
      <c r="D57" s="2" t="s">
        <v>3</v>
      </c>
      <c r="E57" s="2" t="s">
        <v>291</v>
      </c>
      <c r="F57" s="2" t="s">
        <v>5</v>
      </c>
      <c r="G57" s="2">
        <v>907006410</v>
      </c>
      <c r="H57" s="3" t="s">
        <v>34</v>
      </c>
      <c r="I57" s="3" t="s">
        <v>18</v>
      </c>
      <c r="J57" s="2" t="s">
        <v>9</v>
      </c>
      <c r="K57" s="28">
        <v>12.52</v>
      </c>
      <c r="L57" s="28">
        <v>12.52</v>
      </c>
      <c r="M57" s="3">
        <v>0</v>
      </c>
      <c r="N57" s="54">
        <v>46054</v>
      </c>
      <c r="O57" s="3" t="b">
        <v>1</v>
      </c>
      <c r="P57" s="3"/>
      <c r="Q57" s="54"/>
      <c r="R57" s="3"/>
      <c r="Y57" s="2"/>
      <c r="Z57" s="5"/>
    </row>
    <row r="58" spans="1:26" s="130" customFormat="1" x14ac:dyDescent="0.25">
      <c r="A58" s="129" t="b">
        <v>0</v>
      </c>
      <c r="B58" s="144" t="s">
        <v>240</v>
      </c>
      <c r="C58" s="129" t="s">
        <v>47</v>
      </c>
      <c r="D58" s="130" t="s">
        <v>3</v>
      </c>
      <c r="E58" s="130" t="s">
        <v>214</v>
      </c>
      <c r="F58" s="130" t="s">
        <v>5</v>
      </c>
      <c r="G58" s="130">
        <v>859040566</v>
      </c>
      <c r="H58" s="131" t="s">
        <v>34</v>
      </c>
      <c r="I58" s="131" t="s">
        <v>18</v>
      </c>
      <c r="J58" s="130" t="s">
        <v>9</v>
      </c>
      <c r="K58" s="132">
        <v>8.52</v>
      </c>
      <c r="L58" s="132">
        <v>8.52</v>
      </c>
      <c r="M58" s="131">
        <v>0</v>
      </c>
      <c r="N58" s="133">
        <v>46054</v>
      </c>
      <c r="O58" s="3" t="b">
        <v>1</v>
      </c>
      <c r="P58" s="131"/>
      <c r="Q58" s="133"/>
      <c r="R58" s="131"/>
      <c r="Z58" s="134"/>
    </row>
    <row r="59" spans="1:26" s="130" customFormat="1" x14ac:dyDescent="0.25">
      <c r="A59" s="129" t="b">
        <v>0</v>
      </c>
      <c r="B59" s="144" t="s">
        <v>240</v>
      </c>
      <c r="C59" s="129" t="s">
        <v>47</v>
      </c>
      <c r="D59" s="130" t="s">
        <v>3</v>
      </c>
      <c r="E59" s="130" t="s">
        <v>215</v>
      </c>
      <c r="F59" s="130" t="s">
        <v>5</v>
      </c>
      <c r="G59" s="130">
        <v>772435593</v>
      </c>
      <c r="H59" s="131" t="s">
        <v>34</v>
      </c>
      <c r="I59" s="131" t="s">
        <v>18</v>
      </c>
      <c r="J59" s="130" t="s">
        <v>9</v>
      </c>
      <c r="K59" s="132">
        <v>8.52</v>
      </c>
      <c r="L59" s="132">
        <v>8.52</v>
      </c>
      <c r="M59" s="131">
        <v>0</v>
      </c>
      <c r="N59" s="133">
        <v>46054</v>
      </c>
      <c r="O59" s="3" t="b">
        <v>1</v>
      </c>
      <c r="P59" s="131"/>
      <c r="Q59" s="133"/>
      <c r="R59" s="131"/>
      <c r="Z59" s="134"/>
    </row>
    <row r="60" spans="1:26" s="130" customFormat="1" x14ac:dyDescent="0.25">
      <c r="A60" s="129" t="b">
        <v>0</v>
      </c>
      <c r="B60" s="144" t="s">
        <v>240</v>
      </c>
      <c r="C60" s="129" t="s">
        <v>47</v>
      </c>
      <c r="D60" s="130" t="s">
        <v>3</v>
      </c>
      <c r="E60" s="130" t="s">
        <v>216</v>
      </c>
      <c r="F60" s="130" t="s">
        <v>5</v>
      </c>
      <c r="G60" s="130">
        <v>876880626</v>
      </c>
      <c r="H60" s="131" t="s">
        <v>34</v>
      </c>
      <c r="I60" s="131" t="s">
        <v>18</v>
      </c>
      <c r="J60" s="130" t="s">
        <v>9</v>
      </c>
      <c r="K60" s="132">
        <v>8.52</v>
      </c>
      <c r="L60" s="132">
        <v>8.52</v>
      </c>
      <c r="M60" s="131">
        <v>0</v>
      </c>
      <c r="N60" s="133">
        <v>46054</v>
      </c>
      <c r="O60" s="3" t="b">
        <v>1</v>
      </c>
      <c r="P60" s="131"/>
      <c r="Q60" s="133"/>
      <c r="R60" s="131"/>
      <c r="Z60" s="131"/>
    </row>
    <row r="61" spans="1:26" s="130" customFormat="1" x14ac:dyDescent="0.25">
      <c r="A61" s="129" t="b">
        <v>0</v>
      </c>
      <c r="B61" s="144" t="s">
        <v>240</v>
      </c>
      <c r="C61" s="129" t="s">
        <v>47</v>
      </c>
      <c r="D61" s="130" t="s">
        <v>3</v>
      </c>
      <c r="E61" s="130" t="s">
        <v>217</v>
      </c>
      <c r="F61" s="130" t="s">
        <v>5</v>
      </c>
      <c r="G61" s="130">
        <v>887699064</v>
      </c>
      <c r="H61" s="131" t="s">
        <v>34</v>
      </c>
      <c r="I61" s="131" t="s">
        <v>18</v>
      </c>
      <c r="J61" s="130" t="s">
        <v>9</v>
      </c>
      <c r="K61" s="132">
        <v>8.52</v>
      </c>
      <c r="L61" s="132">
        <v>8.52</v>
      </c>
      <c r="M61" s="131">
        <v>0</v>
      </c>
      <c r="N61" s="133">
        <v>46054</v>
      </c>
      <c r="O61" s="3" t="b">
        <v>1</v>
      </c>
      <c r="P61" s="131"/>
      <c r="Q61" s="133"/>
      <c r="R61" s="131"/>
      <c r="Z61" s="131"/>
    </row>
    <row r="62" spans="1:26" s="130" customFormat="1" x14ac:dyDescent="0.25">
      <c r="A62" s="129" t="b">
        <v>0</v>
      </c>
      <c r="B62" s="144" t="s">
        <v>240</v>
      </c>
      <c r="C62" s="129" t="s">
        <v>47</v>
      </c>
      <c r="D62" s="130" t="s">
        <v>3</v>
      </c>
      <c r="E62" s="130" t="s">
        <v>220</v>
      </c>
      <c r="F62" s="130" t="s">
        <v>5</v>
      </c>
      <c r="G62" s="136">
        <v>751357003</v>
      </c>
      <c r="H62" s="131" t="s">
        <v>34</v>
      </c>
      <c r="I62" s="131" t="s">
        <v>18</v>
      </c>
      <c r="J62" s="130" t="s">
        <v>9</v>
      </c>
      <c r="K62" s="132">
        <v>8.52</v>
      </c>
      <c r="L62" s="132">
        <v>8.52</v>
      </c>
      <c r="M62" s="131">
        <v>0</v>
      </c>
      <c r="N62" s="133">
        <v>46054</v>
      </c>
      <c r="O62" s="3" t="b">
        <v>1</v>
      </c>
      <c r="P62" s="131"/>
      <c r="Q62" s="133"/>
      <c r="R62" s="131"/>
      <c r="Z62" s="131"/>
    </row>
    <row r="63" spans="1:26" s="130" customFormat="1" x14ac:dyDescent="0.25">
      <c r="A63" s="129" t="b">
        <v>0</v>
      </c>
      <c r="B63" s="144" t="s">
        <v>240</v>
      </c>
      <c r="C63" s="129" t="s">
        <v>47</v>
      </c>
      <c r="D63" s="130" t="s">
        <v>3</v>
      </c>
      <c r="E63" s="130" t="s">
        <v>292</v>
      </c>
      <c r="F63" s="130" t="s">
        <v>5</v>
      </c>
      <c r="G63" s="130">
        <v>907006434</v>
      </c>
      <c r="H63" s="131" t="s">
        <v>34</v>
      </c>
      <c r="I63" s="131" t="s">
        <v>18</v>
      </c>
      <c r="J63" s="130" t="s">
        <v>9</v>
      </c>
      <c r="K63" s="132">
        <v>8.52</v>
      </c>
      <c r="L63" s="132">
        <v>8.52</v>
      </c>
      <c r="M63" s="131">
        <v>0</v>
      </c>
      <c r="N63" s="133">
        <v>46054</v>
      </c>
      <c r="O63" s="3" t="b">
        <v>1</v>
      </c>
      <c r="P63" s="131"/>
      <c r="Q63" s="133"/>
      <c r="R63" s="131"/>
      <c r="Z63" s="134"/>
    </row>
    <row r="64" spans="1:26" s="20" customFormat="1" x14ac:dyDescent="0.25">
      <c r="A64" s="4" t="b">
        <v>0</v>
      </c>
      <c r="B64" s="4" t="s">
        <v>240</v>
      </c>
      <c r="C64" s="4" t="s">
        <v>18</v>
      </c>
      <c r="D64" s="2" t="s">
        <v>41</v>
      </c>
      <c r="E64" s="2" t="s">
        <v>12</v>
      </c>
      <c r="F64" s="2" t="s">
        <v>5</v>
      </c>
      <c r="G64" s="2">
        <v>677037663</v>
      </c>
      <c r="H64" s="3" t="s">
        <v>34</v>
      </c>
      <c r="I64" s="3" t="s">
        <v>18</v>
      </c>
      <c r="J64" s="2" t="s">
        <v>9</v>
      </c>
      <c r="K64" s="27">
        <v>5.4999999999999997E-3</v>
      </c>
      <c r="L64" s="27">
        <v>5.4999999999999997E-3</v>
      </c>
      <c r="M64" s="3">
        <v>0</v>
      </c>
      <c r="N64" s="54">
        <v>46054</v>
      </c>
      <c r="O64" s="3" t="b">
        <v>1</v>
      </c>
      <c r="P64" s="3"/>
      <c r="Q64" s="54"/>
      <c r="R64" s="3"/>
      <c r="Y64" s="2"/>
    </row>
    <row r="65" spans="1:25" s="20" customFormat="1" x14ac:dyDescent="0.25">
      <c r="A65" s="4" t="b">
        <v>0</v>
      </c>
      <c r="B65" s="4" t="s">
        <v>240</v>
      </c>
      <c r="C65" s="4" t="s">
        <v>18</v>
      </c>
      <c r="D65" s="2" t="s">
        <v>41</v>
      </c>
      <c r="E65" s="2" t="s">
        <v>13</v>
      </c>
      <c r="F65" s="2" t="s">
        <v>5</v>
      </c>
      <c r="G65" s="2">
        <v>677037658</v>
      </c>
      <c r="H65" s="3" t="s">
        <v>34</v>
      </c>
      <c r="I65" s="3" t="s">
        <v>18</v>
      </c>
      <c r="J65" s="2" t="s">
        <v>9</v>
      </c>
      <c r="K65" s="27">
        <v>5.4999999999999997E-3</v>
      </c>
      <c r="L65" s="27">
        <v>5.4999999999999997E-3</v>
      </c>
      <c r="M65" s="3">
        <v>0</v>
      </c>
      <c r="N65" s="54">
        <v>46054</v>
      </c>
      <c r="O65" s="3" t="b">
        <v>1</v>
      </c>
      <c r="P65" s="3"/>
      <c r="Q65" s="54"/>
      <c r="R65" s="3"/>
      <c r="Y65" s="2"/>
    </row>
    <row r="66" spans="1:25" s="20" customFormat="1" x14ac:dyDescent="0.25">
      <c r="A66" s="4" t="b">
        <v>0</v>
      </c>
      <c r="B66" s="4" t="s">
        <v>240</v>
      </c>
      <c r="C66" s="4" t="s">
        <v>18</v>
      </c>
      <c r="D66" s="2" t="s">
        <v>41</v>
      </c>
      <c r="E66" s="2" t="s">
        <v>14</v>
      </c>
      <c r="F66" s="2" t="s">
        <v>5</v>
      </c>
      <c r="G66" s="2">
        <v>677037676</v>
      </c>
      <c r="H66" s="3" t="s">
        <v>34</v>
      </c>
      <c r="I66" s="3" t="s">
        <v>18</v>
      </c>
      <c r="J66" s="2" t="s">
        <v>9</v>
      </c>
      <c r="K66" s="27">
        <v>5.4999999999999997E-3</v>
      </c>
      <c r="L66" s="27">
        <v>5.4999999999999997E-3</v>
      </c>
      <c r="M66" s="3">
        <v>0</v>
      </c>
      <c r="N66" s="54">
        <v>46054</v>
      </c>
      <c r="O66" s="3" t="b">
        <v>1</v>
      </c>
      <c r="P66" s="3"/>
      <c r="Q66" s="54"/>
      <c r="R66" s="3"/>
      <c r="Y66" s="2"/>
    </row>
    <row r="67" spans="1:25" s="20" customFormat="1" x14ac:dyDescent="0.25">
      <c r="A67" s="4" t="b">
        <v>0</v>
      </c>
      <c r="B67" s="4" t="s">
        <v>240</v>
      </c>
      <c r="C67" s="4" t="s">
        <v>18</v>
      </c>
      <c r="D67" s="2" t="s">
        <v>41</v>
      </c>
      <c r="E67" s="2" t="s">
        <v>18</v>
      </c>
      <c r="F67" s="2" t="s">
        <v>5</v>
      </c>
      <c r="G67" s="2">
        <v>741192224</v>
      </c>
      <c r="H67" s="3" t="s">
        <v>34</v>
      </c>
      <c r="I67" s="3" t="s">
        <v>18</v>
      </c>
      <c r="J67" s="2" t="s">
        <v>9</v>
      </c>
      <c r="K67" s="27">
        <v>5.4999999999999997E-3</v>
      </c>
      <c r="L67" s="27">
        <v>5.4999999999999997E-3</v>
      </c>
      <c r="M67" s="3">
        <v>0</v>
      </c>
      <c r="N67" s="54">
        <v>46054</v>
      </c>
      <c r="O67" s="3" t="b">
        <v>1</v>
      </c>
      <c r="P67" s="3"/>
      <c r="Q67" s="54"/>
      <c r="R67" s="3"/>
      <c r="Y67" s="2"/>
    </row>
    <row r="68" spans="1:25" s="20" customFormat="1" x14ac:dyDescent="0.25">
      <c r="A68" s="4" t="b">
        <v>0</v>
      </c>
      <c r="B68" s="4" t="s">
        <v>240</v>
      </c>
      <c r="C68" s="4" t="s">
        <v>18</v>
      </c>
      <c r="D68" s="2" t="s">
        <v>41</v>
      </c>
      <c r="E68" s="2" t="s">
        <v>15</v>
      </c>
      <c r="F68" s="2" t="s">
        <v>5</v>
      </c>
      <c r="G68" s="2">
        <v>676783288</v>
      </c>
      <c r="H68" s="3" t="s">
        <v>34</v>
      </c>
      <c r="I68" s="3" t="s">
        <v>18</v>
      </c>
      <c r="J68" s="2" t="s">
        <v>9</v>
      </c>
      <c r="K68" s="27">
        <v>5.4999999999999997E-3</v>
      </c>
      <c r="L68" s="27">
        <v>5.4999999999999997E-3</v>
      </c>
      <c r="M68" s="3">
        <v>0</v>
      </c>
      <c r="N68" s="54">
        <v>46054</v>
      </c>
      <c r="O68" s="3" t="b">
        <v>1</v>
      </c>
      <c r="P68" s="3"/>
      <c r="Q68" s="54"/>
      <c r="R68" s="3"/>
      <c r="Y68" s="2"/>
    </row>
    <row r="69" spans="1:25" s="20" customFormat="1" x14ac:dyDescent="0.25">
      <c r="A69" s="4" t="b">
        <v>0</v>
      </c>
      <c r="B69" s="4" t="s">
        <v>240</v>
      </c>
      <c r="C69" s="4" t="s">
        <v>18</v>
      </c>
      <c r="D69" s="2" t="s">
        <v>41</v>
      </c>
      <c r="E69" s="2" t="s">
        <v>16</v>
      </c>
      <c r="F69" s="2" t="s">
        <v>5</v>
      </c>
      <c r="G69" s="2">
        <v>676783282</v>
      </c>
      <c r="H69" s="3" t="s">
        <v>34</v>
      </c>
      <c r="I69" s="3" t="s">
        <v>18</v>
      </c>
      <c r="J69" s="2" t="s">
        <v>9</v>
      </c>
      <c r="K69" s="27">
        <v>5.4999999999999997E-3</v>
      </c>
      <c r="L69" s="27">
        <v>5.4999999999999997E-3</v>
      </c>
      <c r="M69" s="3">
        <v>0</v>
      </c>
      <c r="N69" s="54">
        <v>46054</v>
      </c>
      <c r="O69" s="3" t="b">
        <v>1</v>
      </c>
      <c r="P69" s="3"/>
      <c r="Q69" s="54"/>
      <c r="R69" s="3"/>
      <c r="Y69" s="2"/>
    </row>
    <row r="70" spans="1:25" s="20" customFormat="1" x14ac:dyDescent="0.25">
      <c r="A70" s="4" t="b">
        <v>0</v>
      </c>
      <c r="B70" s="4" t="s">
        <v>240</v>
      </c>
      <c r="C70" s="4" t="s">
        <v>18</v>
      </c>
      <c r="D70" s="2" t="s">
        <v>41</v>
      </c>
      <c r="E70" s="2" t="s">
        <v>21</v>
      </c>
      <c r="F70" s="2" t="s">
        <v>5</v>
      </c>
      <c r="G70" s="2">
        <v>676783301</v>
      </c>
      <c r="H70" s="3" t="s">
        <v>34</v>
      </c>
      <c r="I70" s="3" t="s">
        <v>18</v>
      </c>
      <c r="J70" s="2" t="s">
        <v>9</v>
      </c>
      <c r="K70" s="27">
        <v>5.4999999999999997E-3</v>
      </c>
      <c r="L70" s="27">
        <v>5.4999999999999997E-3</v>
      </c>
      <c r="M70" s="3">
        <v>0</v>
      </c>
      <c r="N70" s="54">
        <v>46054</v>
      </c>
      <c r="O70" s="3" t="b">
        <v>1</v>
      </c>
      <c r="P70" s="3"/>
      <c r="Q70" s="54"/>
      <c r="R70" s="3"/>
      <c r="Y70" s="2"/>
    </row>
    <row r="71" spans="1:25" s="20" customFormat="1" x14ac:dyDescent="0.25">
      <c r="A71" s="4" t="b">
        <v>0</v>
      </c>
      <c r="B71" s="4" t="s">
        <v>240</v>
      </c>
      <c r="C71" s="4" t="s">
        <v>18</v>
      </c>
      <c r="D71" s="2" t="s">
        <v>41</v>
      </c>
      <c r="E71" s="2" t="s">
        <v>17</v>
      </c>
      <c r="F71" s="2" t="s">
        <v>5</v>
      </c>
      <c r="G71" s="2">
        <v>349966059</v>
      </c>
      <c r="H71" s="3" t="s">
        <v>34</v>
      </c>
      <c r="I71" s="3" t="s">
        <v>18</v>
      </c>
      <c r="J71" s="2" t="s">
        <v>9</v>
      </c>
      <c r="K71" s="27">
        <v>5.4999999999999997E-3</v>
      </c>
      <c r="L71" s="27">
        <v>5.4999999999999997E-3</v>
      </c>
      <c r="M71" s="3">
        <v>0</v>
      </c>
      <c r="N71" s="54">
        <v>46054</v>
      </c>
      <c r="O71" s="3" t="b">
        <v>1</v>
      </c>
      <c r="P71" s="3"/>
      <c r="Q71" s="54"/>
      <c r="R71" s="3"/>
      <c r="Y71" s="2"/>
    </row>
    <row r="72" spans="1:25" s="20" customFormat="1" x14ac:dyDescent="0.25">
      <c r="A72" s="4" t="b">
        <v>0</v>
      </c>
      <c r="B72" s="4" t="s">
        <v>240</v>
      </c>
      <c r="C72" s="4" t="s">
        <v>18</v>
      </c>
      <c r="D72" s="2" t="s">
        <v>41</v>
      </c>
      <c r="E72" s="2" t="s">
        <v>43</v>
      </c>
      <c r="F72" s="2" t="s">
        <v>5</v>
      </c>
      <c r="G72" s="2">
        <v>677037670</v>
      </c>
      <c r="H72" s="3" t="s">
        <v>34</v>
      </c>
      <c r="I72" s="3" t="s">
        <v>18</v>
      </c>
      <c r="J72" s="2" t="s">
        <v>9</v>
      </c>
      <c r="K72" s="27">
        <v>5.4999999999999997E-3</v>
      </c>
      <c r="L72" s="27">
        <v>5.4999999999999997E-3</v>
      </c>
      <c r="M72" s="3">
        <v>0</v>
      </c>
      <c r="N72" s="54">
        <v>46054</v>
      </c>
      <c r="O72" s="3" t="b">
        <v>1</v>
      </c>
      <c r="P72" s="3"/>
      <c r="Q72" s="54"/>
      <c r="R72" s="3"/>
      <c r="Y72" s="2"/>
    </row>
    <row r="73" spans="1:25" s="20" customFormat="1" x14ac:dyDescent="0.25">
      <c r="A73" s="4" t="b">
        <v>0</v>
      </c>
      <c r="B73" s="4" t="s">
        <v>240</v>
      </c>
      <c r="C73" s="4" t="s">
        <v>18</v>
      </c>
      <c r="D73" s="2" t="s">
        <v>41</v>
      </c>
      <c r="E73" s="2" t="s">
        <v>4</v>
      </c>
      <c r="F73" s="2" t="s">
        <v>5</v>
      </c>
      <c r="G73" s="2">
        <v>677037673</v>
      </c>
      <c r="H73" s="3" t="s">
        <v>34</v>
      </c>
      <c r="I73" s="3" t="s">
        <v>18</v>
      </c>
      <c r="J73" s="2" t="s">
        <v>9</v>
      </c>
      <c r="K73" s="27">
        <v>5.4999999999999997E-3</v>
      </c>
      <c r="L73" s="27">
        <v>5.4999999999999997E-3</v>
      </c>
      <c r="M73" s="3">
        <v>0</v>
      </c>
      <c r="N73" s="54">
        <v>46054</v>
      </c>
      <c r="O73" s="3" t="b">
        <v>1</v>
      </c>
      <c r="P73" s="3"/>
      <c r="Q73" s="54"/>
      <c r="R73" s="3"/>
      <c r="Y73" s="2"/>
    </row>
    <row r="74" spans="1:25" s="20" customFormat="1" x14ac:dyDescent="0.25">
      <c r="A74" s="137" t="b">
        <v>0</v>
      </c>
      <c r="B74" s="137" t="s">
        <v>257</v>
      </c>
      <c r="C74" s="137" t="s">
        <v>257</v>
      </c>
      <c r="D74" s="138" t="s">
        <v>41</v>
      </c>
      <c r="E74" s="139" t="s">
        <v>266</v>
      </c>
      <c r="F74" s="138" t="s">
        <v>5</v>
      </c>
      <c r="G74" s="143">
        <v>25985141</v>
      </c>
      <c r="H74" s="140" t="s">
        <v>238</v>
      </c>
      <c r="I74" s="140" t="s">
        <v>238</v>
      </c>
      <c r="J74" s="138" t="s">
        <v>9</v>
      </c>
      <c r="K74" s="141">
        <v>5.4999999999999997E-3</v>
      </c>
      <c r="L74" s="141">
        <v>5.4999999999999997E-3</v>
      </c>
      <c r="M74" s="140">
        <v>0</v>
      </c>
      <c r="N74" s="142">
        <v>46054</v>
      </c>
      <c r="O74" s="3" t="b">
        <v>1</v>
      </c>
      <c r="P74" s="3"/>
      <c r="Q74" s="54"/>
      <c r="R74" s="3"/>
      <c r="Y74" s="2"/>
    </row>
    <row r="75" spans="1:25" s="20" customFormat="1" x14ac:dyDescent="0.25">
      <c r="A75" s="137" t="b">
        <v>0</v>
      </c>
      <c r="B75" s="137" t="s">
        <v>257</v>
      </c>
      <c r="C75" s="137" t="s">
        <v>257</v>
      </c>
      <c r="D75" s="138" t="s">
        <v>41</v>
      </c>
      <c r="E75" s="139" t="s">
        <v>221</v>
      </c>
      <c r="F75" s="138" t="s">
        <v>5</v>
      </c>
      <c r="G75" s="143">
        <v>229725522</v>
      </c>
      <c r="H75" s="140" t="s">
        <v>238</v>
      </c>
      <c r="I75" s="140" t="s">
        <v>238</v>
      </c>
      <c r="J75" s="138" t="s">
        <v>9</v>
      </c>
      <c r="K75" s="141">
        <v>5.4999999999999997E-3</v>
      </c>
      <c r="L75" s="141">
        <v>5.4999999999999997E-3</v>
      </c>
      <c r="M75" s="140">
        <v>0</v>
      </c>
      <c r="N75" s="142">
        <v>46054</v>
      </c>
      <c r="O75" s="3" t="b">
        <v>1</v>
      </c>
      <c r="P75" s="3"/>
      <c r="Q75" s="54"/>
      <c r="R75" s="3"/>
      <c r="Y75" s="2"/>
    </row>
    <row r="76" spans="1:25" s="20" customFormat="1" x14ac:dyDescent="0.25">
      <c r="A76" s="137" t="b">
        <v>0</v>
      </c>
      <c r="B76" s="137" t="s">
        <v>257</v>
      </c>
      <c r="C76" s="137" t="s">
        <v>257</v>
      </c>
      <c r="D76" s="138" t="s">
        <v>41</v>
      </c>
      <c r="E76" s="139" t="s">
        <v>267</v>
      </c>
      <c r="F76" s="138" t="s">
        <v>5</v>
      </c>
      <c r="G76" s="143">
        <v>43645828</v>
      </c>
      <c r="H76" s="140" t="s">
        <v>238</v>
      </c>
      <c r="I76" s="140" t="s">
        <v>238</v>
      </c>
      <c r="J76" s="138" t="s">
        <v>9</v>
      </c>
      <c r="K76" s="141">
        <v>5.4999999999999997E-3</v>
      </c>
      <c r="L76" s="141">
        <v>5.4999999999999997E-3</v>
      </c>
      <c r="M76" s="140">
        <v>0</v>
      </c>
      <c r="N76" s="142">
        <v>46054</v>
      </c>
      <c r="O76" s="3" t="b">
        <v>1</v>
      </c>
      <c r="P76" s="3"/>
      <c r="Q76" s="54"/>
      <c r="R76" s="3"/>
      <c r="Y76" s="2"/>
    </row>
    <row r="77" spans="1:25" s="20" customFormat="1" x14ac:dyDescent="0.25">
      <c r="A77" s="137" t="b">
        <v>0</v>
      </c>
      <c r="B77" s="137" t="s">
        <v>257</v>
      </c>
      <c r="C77" s="137" t="s">
        <v>257</v>
      </c>
      <c r="D77" s="138" t="s">
        <v>41</v>
      </c>
      <c r="E77" s="139" t="s">
        <v>279</v>
      </c>
      <c r="F77" s="138" t="s">
        <v>5</v>
      </c>
      <c r="G77" s="143">
        <v>128835017</v>
      </c>
      <c r="H77" s="140" t="s">
        <v>238</v>
      </c>
      <c r="I77" s="140" t="s">
        <v>238</v>
      </c>
      <c r="J77" s="138" t="s">
        <v>9</v>
      </c>
      <c r="K77" s="141">
        <v>5.4999999999999997E-3</v>
      </c>
      <c r="L77" s="141">
        <v>5.4999999999999997E-3</v>
      </c>
      <c r="M77" s="140">
        <v>0</v>
      </c>
      <c r="N77" s="142">
        <v>46054</v>
      </c>
      <c r="O77" s="3" t="b">
        <v>1</v>
      </c>
      <c r="P77" s="3"/>
      <c r="Q77" s="54"/>
      <c r="R77" s="3"/>
      <c r="Y77" s="2"/>
    </row>
    <row r="78" spans="1:25" s="20" customFormat="1" x14ac:dyDescent="0.25">
      <c r="A78" s="137" t="b">
        <v>0</v>
      </c>
      <c r="B78" s="137" t="s">
        <v>257</v>
      </c>
      <c r="C78" s="137" t="s">
        <v>257</v>
      </c>
      <c r="D78" s="138" t="s">
        <v>41</v>
      </c>
      <c r="E78" s="139" t="s">
        <v>280</v>
      </c>
      <c r="F78" s="138" t="s">
        <v>5</v>
      </c>
      <c r="G78" s="143">
        <v>46577293</v>
      </c>
      <c r="H78" s="140" t="s">
        <v>238</v>
      </c>
      <c r="I78" s="140" t="s">
        <v>238</v>
      </c>
      <c r="J78" s="138" t="s">
        <v>9</v>
      </c>
      <c r="K78" s="141">
        <v>5.4999999999999997E-3</v>
      </c>
      <c r="L78" s="141">
        <v>5.4999999999999997E-3</v>
      </c>
      <c r="M78" s="140">
        <v>0</v>
      </c>
      <c r="N78" s="142">
        <v>46054</v>
      </c>
      <c r="O78" s="3" t="b">
        <v>1</v>
      </c>
      <c r="P78" s="3"/>
      <c r="Q78" s="54"/>
      <c r="R78" s="3"/>
      <c r="Y78" s="2"/>
    </row>
    <row r="79" spans="1:25" s="20" customFormat="1" x14ac:dyDescent="0.25">
      <c r="A79" s="137" t="b">
        <v>0</v>
      </c>
      <c r="B79" s="137" t="s">
        <v>257</v>
      </c>
      <c r="C79" s="137" t="s">
        <v>257</v>
      </c>
      <c r="D79" s="138" t="s">
        <v>41</v>
      </c>
      <c r="E79" s="139" t="s">
        <v>281</v>
      </c>
      <c r="F79" s="138" t="s">
        <v>5</v>
      </c>
      <c r="G79" s="143">
        <v>46576893</v>
      </c>
      <c r="H79" s="140" t="s">
        <v>238</v>
      </c>
      <c r="I79" s="140" t="s">
        <v>238</v>
      </c>
      <c r="J79" s="138" t="s">
        <v>9</v>
      </c>
      <c r="K79" s="141">
        <v>5.4999999999999997E-3</v>
      </c>
      <c r="L79" s="141">
        <v>5.4999999999999997E-3</v>
      </c>
      <c r="M79" s="140">
        <v>0</v>
      </c>
      <c r="N79" s="142">
        <v>46054</v>
      </c>
      <c r="O79" s="3" t="b">
        <v>1</v>
      </c>
      <c r="P79" s="3"/>
      <c r="Q79" s="54"/>
      <c r="R79" s="3"/>
      <c r="Y79" s="2"/>
    </row>
    <row r="80" spans="1:25" s="20" customFormat="1" x14ac:dyDescent="0.25">
      <c r="A80" s="137" t="b">
        <v>0</v>
      </c>
      <c r="B80" s="137" t="s">
        <v>257</v>
      </c>
      <c r="C80" s="137" t="s">
        <v>257</v>
      </c>
      <c r="D80" s="138" t="s">
        <v>41</v>
      </c>
      <c r="E80" s="139" t="s">
        <v>263</v>
      </c>
      <c r="F80" s="138" t="s">
        <v>5</v>
      </c>
      <c r="G80" s="143">
        <v>79360027</v>
      </c>
      <c r="H80" s="140" t="s">
        <v>238</v>
      </c>
      <c r="I80" s="140" t="s">
        <v>238</v>
      </c>
      <c r="J80" s="138" t="s">
        <v>9</v>
      </c>
      <c r="K80" s="141">
        <v>5.4999999999999997E-3</v>
      </c>
      <c r="L80" s="141">
        <v>5.4999999999999997E-3</v>
      </c>
      <c r="M80" s="140">
        <v>0</v>
      </c>
      <c r="N80" s="142">
        <v>46054</v>
      </c>
      <c r="O80" s="3" t="b">
        <v>1</v>
      </c>
      <c r="P80" s="3"/>
      <c r="Q80" s="54"/>
      <c r="R80" s="3"/>
      <c r="Y80" s="2"/>
    </row>
    <row r="81" spans="1:25" s="20" customFormat="1" x14ac:dyDescent="0.25">
      <c r="A81" s="137" t="b">
        <v>0</v>
      </c>
      <c r="B81" s="137" t="s">
        <v>257</v>
      </c>
      <c r="C81" s="137" t="s">
        <v>257</v>
      </c>
      <c r="D81" s="138" t="s">
        <v>41</v>
      </c>
      <c r="E81" s="139" t="s">
        <v>222</v>
      </c>
      <c r="F81" s="138" t="s">
        <v>5</v>
      </c>
      <c r="G81" s="143">
        <v>59354075</v>
      </c>
      <c r="H81" s="140" t="s">
        <v>238</v>
      </c>
      <c r="I81" s="140" t="s">
        <v>238</v>
      </c>
      <c r="J81" s="138" t="s">
        <v>9</v>
      </c>
      <c r="K81" s="141">
        <v>5.4999999999999997E-3</v>
      </c>
      <c r="L81" s="141">
        <v>5.4999999999999997E-3</v>
      </c>
      <c r="M81" s="140">
        <v>0</v>
      </c>
      <c r="N81" s="142">
        <v>46054</v>
      </c>
      <c r="O81" s="3" t="b">
        <v>1</v>
      </c>
      <c r="P81" s="3"/>
      <c r="Q81" s="54"/>
      <c r="R81" s="3"/>
      <c r="Y81" s="2"/>
    </row>
    <row r="82" spans="1:25" s="20" customFormat="1" x14ac:dyDescent="0.25">
      <c r="A82" s="137" t="b">
        <v>0</v>
      </c>
      <c r="B82" s="137" t="s">
        <v>257</v>
      </c>
      <c r="C82" s="137" t="s">
        <v>257</v>
      </c>
      <c r="D82" s="138" t="s">
        <v>41</v>
      </c>
      <c r="E82" s="139" t="s">
        <v>282</v>
      </c>
      <c r="F82" s="138" t="s">
        <v>5</v>
      </c>
      <c r="G82" s="143">
        <v>47649504</v>
      </c>
      <c r="H82" s="140" t="s">
        <v>238</v>
      </c>
      <c r="I82" s="140" t="s">
        <v>238</v>
      </c>
      <c r="J82" s="138" t="s">
        <v>9</v>
      </c>
      <c r="K82" s="141">
        <v>5.4999999999999997E-3</v>
      </c>
      <c r="L82" s="141">
        <v>5.4999999999999997E-3</v>
      </c>
      <c r="M82" s="140">
        <v>0</v>
      </c>
      <c r="N82" s="142">
        <v>46054</v>
      </c>
      <c r="O82" s="3" t="b">
        <v>1</v>
      </c>
      <c r="P82" s="3"/>
      <c r="Q82" s="54"/>
      <c r="R82" s="3"/>
      <c r="Y82" s="2"/>
    </row>
    <row r="83" spans="1:25" s="20" customFormat="1" x14ac:dyDescent="0.25">
      <c r="A83" s="137" t="b">
        <v>0</v>
      </c>
      <c r="B83" s="137" t="s">
        <v>257</v>
      </c>
      <c r="C83" s="137" t="s">
        <v>257</v>
      </c>
      <c r="D83" s="138" t="s">
        <v>41</v>
      </c>
      <c r="E83" s="139" t="s">
        <v>283</v>
      </c>
      <c r="F83" s="138" t="s">
        <v>5</v>
      </c>
      <c r="G83" s="143">
        <v>337332930</v>
      </c>
      <c r="H83" s="140" t="s">
        <v>238</v>
      </c>
      <c r="I83" s="140" t="s">
        <v>238</v>
      </c>
      <c r="J83" s="138" t="s">
        <v>9</v>
      </c>
      <c r="K83" s="141">
        <v>5.4999999999999997E-3</v>
      </c>
      <c r="L83" s="141">
        <v>5.4999999999999997E-3</v>
      </c>
      <c r="M83" s="140">
        <v>0</v>
      </c>
      <c r="N83" s="142">
        <v>46054</v>
      </c>
      <c r="O83" s="3" t="b">
        <v>1</v>
      </c>
      <c r="P83" s="3"/>
      <c r="Q83" s="54"/>
      <c r="R83" s="3"/>
      <c r="Y83" s="2"/>
    </row>
    <row r="84" spans="1:25" s="20" customFormat="1" x14ac:dyDescent="0.25">
      <c r="A84" s="137" t="b">
        <v>0</v>
      </c>
      <c r="B84" s="137" t="s">
        <v>257</v>
      </c>
      <c r="C84" s="137" t="s">
        <v>257</v>
      </c>
      <c r="D84" s="138" t="s">
        <v>41</v>
      </c>
      <c r="E84" s="139" t="s">
        <v>223</v>
      </c>
      <c r="F84" s="138" t="s">
        <v>5</v>
      </c>
      <c r="G84" s="143">
        <v>236855028</v>
      </c>
      <c r="H84" s="140" t="s">
        <v>238</v>
      </c>
      <c r="I84" s="140" t="s">
        <v>238</v>
      </c>
      <c r="J84" s="138" t="s">
        <v>9</v>
      </c>
      <c r="K84" s="141">
        <v>5.4999999999999997E-3</v>
      </c>
      <c r="L84" s="141">
        <v>5.4999999999999997E-3</v>
      </c>
      <c r="M84" s="140">
        <v>0</v>
      </c>
      <c r="N84" s="142">
        <v>46054</v>
      </c>
      <c r="O84" s="3" t="b">
        <v>1</v>
      </c>
      <c r="P84" s="3"/>
      <c r="Q84" s="54"/>
      <c r="R84" s="3"/>
      <c r="Y84" s="2"/>
    </row>
    <row r="85" spans="1:25" s="20" customFormat="1" x14ac:dyDescent="0.25">
      <c r="A85" s="137" t="b">
        <v>0</v>
      </c>
      <c r="B85" s="137" t="s">
        <v>257</v>
      </c>
      <c r="C85" s="137" t="s">
        <v>257</v>
      </c>
      <c r="D85" s="138" t="s">
        <v>41</v>
      </c>
      <c r="E85" s="139" t="s">
        <v>268</v>
      </c>
      <c r="F85" s="138" t="s">
        <v>5</v>
      </c>
      <c r="G85" s="143">
        <v>43652089</v>
      </c>
      <c r="H85" s="140" t="s">
        <v>238</v>
      </c>
      <c r="I85" s="140" t="s">
        <v>238</v>
      </c>
      <c r="J85" s="138" t="s">
        <v>9</v>
      </c>
      <c r="K85" s="141">
        <v>5.4999999999999997E-3</v>
      </c>
      <c r="L85" s="141">
        <v>5.4999999999999997E-3</v>
      </c>
      <c r="M85" s="140">
        <v>0</v>
      </c>
      <c r="N85" s="142">
        <v>46054</v>
      </c>
      <c r="O85" s="3" t="b">
        <v>1</v>
      </c>
      <c r="P85" s="3"/>
      <c r="Q85" s="54"/>
      <c r="R85" s="3"/>
      <c r="Y85" s="2"/>
    </row>
    <row r="86" spans="1:25" s="20" customFormat="1" x14ac:dyDescent="0.25">
      <c r="A86" s="137" t="b">
        <v>0</v>
      </c>
      <c r="B86" s="137" t="s">
        <v>257</v>
      </c>
      <c r="C86" s="137" t="s">
        <v>257</v>
      </c>
      <c r="D86" s="138" t="s">
        <v>41</v>
      </c>
      <c r="E86" s="139" t="s">
        <v>269</v>
      </c>
      <c r="F86" s="138" t="s">
        <v>5</v>
      </c>
      <c r="G86" s="143">
        <v>257944560</v>
      </c>
      <c r="H86" s="140" t="s">
        <v>238</v>
      </c>
      <c r="I86" s="140" t="s">
        <v>238</v>
      </c>
      <c r="J86" s="138" t="s">
        <v>9</v>
      </c>
      <c r="K86" s="141">
        <v>5.4999999999999997E-3</v>
      </c>
      <c r="L86" s="141">
        <v>5.4999999999999997E-3</v>
      </c>
      <c r="M86" s="140">
        <v>0</v>
      </c>
      <c r="N86" s="142">
        <v>46054</v>
      </c>
      <c r="O86" s="3" t="b">
        <v>1</v>
      </c>
      <c r="P86" s="3"/>
      <c r="Q86" s="54"/>
      <c r="R86" s="3"/>
      <c r="Y86" s="2"/>
    </row>
    <row r="87" spans="1:25" s="20" customFormat="1" x14ac:dyDescent="0.25">
      <c r="A87" s="137" t="b">
        <v>0</v>
      </c>
      <c r="B87" s="137" t="s">
        <v>257</v>
      </c>
      <c r="C87" s="137" t="s">
        <v>257</v>
      </c>
      <c r="D87" s="138" t="s">
        <v>41</v>
      </c>
      <c r="E87" s="139" t="s">
        <v>284</v>
      </c>
      <c r="F87" s="138" t="s">
        <v>5</v>
      </c>
      <c r="G87" s="143">
        <v>212290413</v>
      </c>
      <c r="H87" s="140" t="s">
        <v>238</v>
      </c>
      <c r="I87" s="140" t="s">
        <v>238</v>
      </c>
      <c r="J87" s="138" t="s">
        <v>9</v>
      </c>
      <c r="K87" s="141">
        <v>5.4999999999999997E-3</v>
      </c>
      <c r="L87" s="141">
        <v>5.4999999999999997E-3</v>
      </c>
      <c r="M87" s="140">
        <v>0</v>
      </c>
      <c r="N87" s="142">
        <v>46054</v>
      </c>
      <c r="O87" s="3" t="b">
        <v>1</v>
      </c>
      <c r="P87" s="3"/>
      <c r="Q87" s="54"/>
      <c r="R87" s="3"/>
      <c r="Y87" s="2"/>
    </row>
    <row r="88" spans="1:25" s="20" customFormat="1" x14ac:dyDescent="0.25">
      <c r="A88" s="137" t="b">
        <v>0</v>
      </c>
      <c r="B88" s="137" t="s">
        <v>257</v>
      </c>
      <c r="C88" s="137" t="s">
        <v>257</v>
      </c>
      <c r="D88" s="138" t="s">
        <v>41</v>
      </c>
      <c r="E88" s="139" t="s">
        <v>224</v>
      </c>
      <c r="F88" s="138" t="s">
        <v>5</v>
      </c>
      <c r="G88" s="143">
        <v>196234342</v>
      </c>
      <c r="H88" s="140" t="s">
        <v>238</v>
      </c>
      <c r="I88" s="140" t="s">
        <v>238</v>
      </c>
      <c r="J88" s="138" t="s">
        <v>9</v>
      </c>
      <c r="K88" s="141">
        <v>5.4999999999999997E-3</v>
      </c>
      <c r="L88" s="141">
        <v>5.4999999999999997E-3</v>
      </c>
      <c r="M88" s="140">
        <v>0</v>
      </c>
      <c r="N88" s="142">
        <v>46054</v>
      </c>
      <c r="O88" s="3" t="b">
        <v>1</v>
      </c>
      <c r="P88" s="3"/>
      <c r="Q88" s="54"/>
      <c r="R88" s="3"/>
      <c r="Y88" s="2"/>
    </row>
    <row r="89" spans="1:25" s="20" customFormat="1" x14ac:dyDescent="0.25">
      <c r="A89" s="137" t="b">
        <v>0</v>
      </c>
      <c r="B89" s="137" t="s">
        <v>257</v>
      </c>
      <c r="C89" s="137" t="s">
        <v>257</v>
      </c>
      <c r="D89" s="138" t="s">
        <v>41</v>
      </c>
      <c r="E89" s="139" t="s">
        <v>225</v>
      </c>
      <c r="F89" s="138" t="s">
        <v>5</v>
      </c>
      <c r="G89" s="143">
        <v>69342629</v>
      </c>
      <c r="H89" s="140" t="s">
        <v>238</v>
      </c>
      <c r="I89" s="140" t="s">
        <v>238</v>
      </c>
      <c r="J89" s="138" t="s">
        <v>9</v>
      </c>
      <c r="K89" s="141">
        <v>5.4999999999999997E-3</v>
      </c>
      <c r="L89" s="141">
        <v>5.4999999999999997E-3</v>
      </c>
      <c r="M89" s="140">
        <v>0</v>
      </c>
      <c r="N89" s="142">
        <v>46054</v>
      </c>
      <c r="O89" s="3" t="b">
        <v>1</v>
      </c>
      <c r="P89" s="3"/>
      <c r="Q89" s="54"/>
      <c r="R89" s="3"/>
      <c r="Y89" s="2"/>
    </row>
    <row r="90" spans="1:25" s="20" customFormat="1" x14ac:dyDescent="0.25">
      <c r="A90" s="137" t="b">
        <v>0</v>
      </c>
      <c r="B90" s="137" t="s">
        <v>257</v>
      </c>
      <c r="C90" s="137" t="s">
        <v>257</v>
      </c>
      <c r="D90" s="138" t="s">
        <v>41</v>
      </c>
      <c r="E90" s="139" t="s">
        <v>285</v>
      </c>
      <c r="F90" s="138" t="s">
        <v>5</v>
      </c>
      <c r="G90" s="143">
        <v>57482345</v>
      </c>
      <c r="H90" s="140" t="s">
        <v>238</v>
      </c>
      <c r="I90" s="140" t="s">
        <v>238</v>
      </c>
      <c r="J90" s="138" t="s">
        <v>9</v>
      </c>
      <c r="K90" s="141">
        <v>5.4999999999999997E-3</v>
      </c>
      <c r="L90" s="141">
        <v>5.4999999999999997E-3</v>
      </c>
      <c r="M90" s="140">
        <v>0</v>
      </c>
      <c r="N90" s="142">
        <v>46054</v>
      </c>
      <c r="O90" s="3" t="b">
        <v>1</v>
      </c>
      <c r="P90" s="3"/>
      <c r="Q90" s="54"/>
      <c r="R90" s="3"/>
      <c r="Y90" s="2"/>
    </row>
    <row r="91" spans="1:25" s="20" customFormat="1" x14ac:dyDescent="0.25">
      <c r="A91" s="137" t="b">
        <v>0</v>
      </c>
      <c r="B91" s="137" t="s">
        <v>257</v>
      </c>
      <c r="C91" s="137" t="s">
        <v>257</v>
      </c>
      <c r="D91" s="138" t="s">
        <v>41</v>
      </c>
      <c r="E91" s="139" t="s">
        <v>270</v>
      </c>
      <c r="F91" s="138" t="s">
        <v>5</v>
      </c>
      <c r="G91" s="143">
        <v>155518924</v>
      </c>
      <c r="H91" s="140" t="s">
        <v>238</v>
      </c>
      <c r="I91" s="140" t="s">
        <v>238</v>
      </c>
      <c r="J91" s="138" t="s">
        <v>9</v>
      </c>
      <c r="K91" s="141">
        <v>5.4999999999999997E-3</v>
      </c>
      <c r="L91" s="141">
        <v>5.4999999999999997E-3</v>
      </c>
      <c r="M91" s="140">
        <v>0</v>
      </c>
      <c r="N91" s="142">
        <v>46054</v>
      </c>
      <c r="O91" s="3" t="b">
        <v>1</v>
      </c>
      <c r="P91" s="3"/>
      <c r="Q91" s="54"/>
      <c r="R91" s="3"/>
      <c r="Y91" s="2"/>
    </row>
    <row r="92" spans="1:25" s="20" customFormat="1" x14ac:dyDescent="0.25">
      <c r="A92" s="137" t="b">
        <v>0</v>
      </c>
      <c r="B92" s="137" t="s">
        <v>257</v>
      </c>
      <c r="C92" s="137" t="s">
        <v>257</v>
      </c>
      <c r="D92" s="138" t="s">
        <v>41</v>
      </c>
      <c r="E92" s="139" t="s">
        <v>271</v>
      </c>
      <c r="F92" s="138" t="s">
        <v>5</v>
      </c>
      <c r="G92" s="143">
        <v>356312840</v>
      </c>
      <c r="H92" s="140" t="s">
        <v>238</v>
      </c>
      <c r="I92" s="140" t="s">
        <v>238</v>
      </c>
      <c r="J92" s="138" t="s">
        <v>9</v>
      </c>
      <c r="K92" s="141">
        <v>5.4999999999999997E-3</v>
      </c>
      <c r="L92" s="141">
        <v>5.4999999999999997E-3</v>
      </c>
      <c r="M92" s="140">
        <v>0</v>
      </c>
      <c r="N92" s="142">
        <v>46054</v>
      </c>
      <c r="O92" s="3" t="b">
        <v>1</v>
      </c>
      <c r="P92" s="3"/>
      <c r="Q92" s="54"/>
      <c r="R92" s="3"/>
      <c r="Y92" s="2"/>
    </row>
    <row r="93" spans="1:25" s="20" customFormat="1" x14ac:dyDescent="0.25">
      <c r="A93" s="137" t="b">
        <v>0</v>
      </c>
      <c r="B93" s="137" t="s">
        <v>257</v>
      </c>
      <c r="C93" s="137" t="s">
        <v>257</v>
      </c>
      <c r="D93" s="138" t="s">
        <v>41</v>
      </c>
      <c r="E93" s="139" t="s">
        <v>264</v>
      </c>
      <c r="F93" s="138" t="s">
        <v>5</v>
      </c>
      <c r="G93" s="143">
        <v>15547816</v>
      </c>
      <c r="H93" s="140" t="s">
        <v>238</v>
      </c>
      <c r="I93" s="140" t="s">
        <v>238</v>
      </c>
      <c r="J93" s="138" t="s">
        <v>9</v>
      </c>
      <c r="K93" s="141">
        <v>5.4999999999999997E-3</v>
      </c>
      <c r="L93" s="141">
        <v>5.4999999999999997E-3</v>
      </c>
      <c r="M93" s="140">
        <v>0</v>
      </c>
      <c r="N93" s="142">
        <v>46054</v>
      </c>
      <c r="O93" s="3" t="b">
        <v>1</v>
      </c>
      <c r="P93" s="3"/>
      <c r="Q93" s="54"/>
      <c r="R93" s="3"/>
      <c r="Y93" s="2"/>
    </row>
    <row r="94" spans="1:25" s="20" customFormat="1" x14ac:dyDescent="0.25">
      <c r="A94" s="137" t="b">
        <v>0</v>
      </c>
      <c r="B94" s="137" t="s">
        <v>257</v>
      </c>
      <c r="C94" s="137" t="s">
        <v>257</v>
      </c>
      <c r="D94" s="138" t="s">
        <v>41</v>
      </c>
      <c r="E94" s="139" t="s">
        <v>226</v>
      </c>
      <c r="F94" s="138" t="s">
        <v>5</v>
      </c>
      <c r="G94" s="143">
        <v>43283708</v>
      </c>
      <c r="H94" s="140" t="s">
        <v>238</v>
      </c>
      <c r="I94" s="140" t="s">
        <v>238</v>
      </c>
      <c r="J94" s="138" t="s">
        <v>9</v>
      </c>
      <c r="K94" s="141">
        <v>5.4999999999999997E-3</v>
      </c>
      <c r="L94" s="141">
        <v>5.4999999999999997E-3</v>
      </c>
      <c r="M94" s="140">
        <v>0</v>
      </c>
      <c r="N94" s="142">
        <v>46054</v>
      </c>
      <c r="O94" s="3" t="b">
        <v>1</v>
      </c>
      <c r="P94" s="3"/>
      <c r="Q94" s="54"/>
      <c r="R94" s="3"/>
      <c r="Y94" s="2"/>
    </row>
    <row r="95" spans="1:25" s="20" customFormat="1" x14ac:dyDescent="0.25">
      <c r="A95" s="137" t="b">
        <v>0</v>
      </c>
      <c r="B95" s="137" t="s">
        <v>257</v>
      </c>
      <c r="C95" s="137" t="s">
        <v>257</v>
      </c>
      <c r="D95" s="138" t="s">
        <v>41</v>
      </c>
      <c r="E95" s="139" t="s">
        <v>227</v>
      </c>
      <c r="F95" s="138" t="s">
        <v>5</v>
      </c>
      <c r="G95" s="143">
        <v>46104034</v>
      </c>
      <c r="H95" s="140" t="s">
        <v>238</v>
      </c>
      <c r="I95" s="140" t="s">
        <v>238</v>
      </c>
      <c r="J95" s="138" t="s">
        <v>9</v>
      </c>
      <c r="K95" s="141">
        <v>5.4999999999999997E-3</v>
      </c>
      <c r="L95" s="141">
        <v>5.4999999999999997E-3</v>
      </c>
      <c r="M95" s="140">
        <v>0</v>
      </c>
      <c r="N95" s="142">
        <v>46054</v>
      </c>
      <c r="O95" s="3" t="b">
        <v>1</v>
      </c>
      <c r="P95" s="3"/>
      <c r="Q95" s="54"/>
      <c r="R95" s="3"/>
      <c r="Y95" s="2"/>
    </row>
    <row r="96" spans="1:25" s="20" customFormat="1" x14ac:dyDescent="0.25">
      <c r="A96" s="137" t="b">
        <v>0</v>
      </c>
      <c r="B96" s="137" t="s">
        <v>257</v>
      </c>
      <c r="C96" s="137" t="s">
        <v>257</v>
      </c>
      <c r="D96" s="138" t="s">
        <v>41</v>
      </c>
      <c r="E96" s="139" t="s">
        <v>288</v>
      </c>
      <c r="F96" s="138" t="s">
        <v>5</v>
      </c>
      <c r="G96" s="143">
        <v>319355940</v>
      </c>
      <c r="H96" s="140" t="s">
        <v>238</v>
      </c>
      <c r="I96" s="140" t="s">
        <v>238</v>
      </c>
      <c r="J96" s="138" t="s">
        <v>9</v>
      </c>
      <c r="K96" s="141">
        <v>5.4999999999999997E-3</v>
      </c>
      <c r="L96" s="141">
        <v>5.4999999999999997E-3</v>
      </c>
      <c r="M96" s="140">
        <v>0</v>
      </c>
      <c r="N96" s="142">
        <v>46054</v>
      </c>
      <c r="O96" s="3" t="b">
        <v>1</v>
      </c>
      <c r="P96" s="3"/>
      <c r="Q96" s="54"/>
      <c r="R96" s="3"/>
      <c r="Y96" s="2"/>
    </row>
    <row r="97" spans="1:25" s="20" customFormat="1" x14ac:dyDescent="0.25">
      <c r="A97" s="137" t="b">
        <v>0</v>
      </c>
      <c r="B97" s="137" t="s">
        <v>257</v>
      </c>
      <c r="C97" s="137" t="s">
        <v>257</v>
      </c>
      <c r="D97" s="138" t="s">
        <v>41</v>
      </c>
      <c r="E97" s="139" t="s">
        <v>286</v>
      </c>
      <c r="F97" s="138" t="s">
        <v>5</v>
      </c>
      <c r="G97" s="143">
        <v>41037032</v>
      </c>
      <c r="H97" s="140" t="s">
        <v>238</v>
      </c>
      <c r="I97" s="140" t="s">
        <v>238</v>
      </c>
      <c r="J97" s="138" t="s">
        <v>9</v>
      </c>
      <c r="K97" s="141">
        <v>5.4999999999999997E-3</v>
      </c>
      <c r="L97" s="141">
        <v>5.4999999999999997E-3</v>
      </c>
      <c r="M97" s="140">
        <v>0</v>
      </c>
      <c r="N97" s="142">
        <v>46054</v>
      </c>
      <c r="O97" s="3" t="b">
        <v>1</v>
      </c>
      <c r="P97" s="3"/>
      <c r="Q97" s="54"/>
      <c r="R97" s="3"/>
      <c r="Y97" s="2"/>
    </row>
    <row r="98" spans="1:25" s="20" customFormat="1" x14ac:dyDescent="0.25">
      <c r="A98" s="137" t="b">
        <v>0</v>
      </c>
      <c r="B98" s="137" t="s">
        <v>257</v>
      </c>
      <c r="C98" s="137" t="s">
        <v>257</v>
      </c>
      <c r="D98" s="138" t="s">
        <v>41</v>
      </c>
      <c r="E98" s="139" t="s">
        <v>287</v>
      </c>
      <c r="F98" s="138" t="s">
        <v>5</v>
      </c>
      <c r="G98" s="143">
        <v>288871046</v>
      </c>
      <c r="H98" s="140" t="s">
        <v>238</v>
      </c>
      <c r="I98" s="140" t="s">
        <v>238</v>
      </c>
      <c r="J98" s="138" t="s">
        <v>9</v>
      </c>
      <c r="K98" s="141">
        <v>5.4999999999999997E-3</v>
      </c>
      <c r="L98" s="141">
        <v>5.4999999999999997E-3</v>
      </c>
      <c r="M98" s="140">
        <v>0</v>
      </c>
      <c r="N98" s="142">
        <v>46054</v>
      </c>
      <c r="O98" s="3" t="b">
        <v>1</v>
      </c>
      <c r="P98" s="3"/>
      <c r="Q98" s="54"/>
      <c r="R98" s="3"/>
      <c r="Y98" s="2"/>
    </row>
    <row r="99" spans="1:25" s="20" customFormat="1" x14ac:dyDescent="0.25">
      <c r="A99" s="137" t="b">
        <v>0</v>
      </c>
      <c r="B99" s="137" t="s">
        <v>257</v>
      </c>
      <c r="C99" s="137" t="s">
        <v>257</v>
      </c>
      <c r="D99" s="138" t="s">
        <v>41</v>
      </c>
      <c r="E99" s="139" t="s">
        <v>294</v>
      </c>
      <c r="F99" s="138" t="s">
        <v>5</v>
      </c>
      <c r="G99" s="143">
        <v>82817278</v>
      </c>
      <c r="H99" s="140" t="s">
        <v>238</v>
      </c>
      <c r="I99" s="140" t="s">
        <v>238</v>
      </c>
      <c r="J99" s="138" t="s">
        <v>9</v>
      </c>
      <c r="K99" s="141">
        <v>5.4999999999999997E-3</v>
      </c>
      <c r="L99" s="141">
        <v>5.4999999999999997E-3</v>
      </c>
      <c r="M99" s="140">
        <v>0</v>
      </c>
      <c r="N99" s="142">
        <v>46054</v>
      </c>
      <c r="O99" s="3" t="b">
        <v>1</v>
      </c>
      <c r="P99" s="3"/>
      <c r="Q99" s="54"/>
      <c r="R99" s="3"/>
      <c r="Y99" s="2"/>
    </row>
    <row r="100" spans="1:25" s="20" customFormat="1" x14ac:dyDescent="0.25">
      <c r="A100" s="137" t="b">
        <v>0</v>
      </c>
      <c r="B100" s="137" t="s">
        <v>257</v>
      </c>
      <c r="C100" s="137" t="s">
        <v>257</v>
      </c>
      <c r="D100" s="138" t="s">
        <v>41</v>
      </c>
      <c r="E100" s="139" t="s">
        <v>228</v>
      </c>
      <c r="F100" s="138" t="s">
        <v>5</v>
      </c>
      <c r="G100" s="143">
        <v>386752912</v>
      </c>
      <c r="H100" s="140" t="s">
        <v>238</v>
      </c>
      <c r="I100" s="140" t="s">
        <v>238</v>
      </c>
      <c r="J100" s="138" t="s">
        <v>9</v>
      </c>
      <c r="K100" s="141">
        <v>5.4999999999999997E-3</v>
      </c>
      <c r="L100" s="141">
        <v>5.4999999999999997E-3</v>
      </c>
      <c r="M100" s="140">
        <v>0</v>
      </c>
      <c r="N100" s="142">
        <v>46054</v>
      </c>
      <c r="O100" s="3" t="b">
        <v>1</v>
      </c>
      <c r="P100" s="3"/>
      <c r="Q100" s="54"/>
      <c r="R100" s="3"/>
      <c r="Y100" s="2"/>
    </row>
    <row r="101" spans="1:25" s="20" customFormat="1" x14ac:dyDescent="0.25">
      <c r="A101" s="137" t="b">
        <v>0</v>
      </c>
      <c r="B101" s="137" t="s">
        <v>257</v>
      </c>
      <c r="C101" s="137" t="s">
        <v>257</v>
      </c>
      <c r="D101" s="138" t="s">
        <v>41</v>
      </c>
      <c r="E101" s="139" t="s">
        <v>272</v>
      </c>
      <c r="F101" s="138" t="s">
        <v>5</v>
      </c>
      <c r="G101" s="143">
        <v>90832064</v>
      </c>
      <c r="H101" s="140" t="s">
        <v>238</v>
      </c>
      <c r="I101" s="140" t="s">
        <v>238</v>
      </c>
      <c r="J101" s="138" t="s">
        <v>9</v>
      </c>
      <c r="K101" s="141">
        <v>5.4999999999999997E-3</v>
      </c>
      <c r="L101" s="141">
        <v>5.4999999999999997E-3</v>
      </c>
      <c r="M101" s="140">
        <v>0</v>
      </c>
      <c r="N101" s="142">
        <v>46054</v>
      </c>
      <c r="O101" s="3" t="b">
        <v>1</v>
      </c>
      <c r="P101" s="3"/>
      <c r="Q101" s="54"/>
      <c r="R101" s="3"/>
      <c r="Y101" s="2"/>
    </row>
    <row r="102" spans="1:25" s="20" customFormat="1" x14ac:dyDescent="0.25">
      <c r="A102" s="137" t="b">
        <v>0</v>
      </c>
      <c r="B102" s="137" t="s">
        <v>257</v>
      </c>
      <c r="C102" s="137" t="s">
        <v>257</v>
      </c>
      <c r="D102" s="138" t="s">
        <v>41</v>
      </c>
      <c r="E102" s="139" t="s">
        <v>273</v>
      </c>
      <c r="F102" s="138" t="s">
        <v>5</v>
      </c>
      <c r="G102" s="143">
        <v>641561653</v>
      </c>
      <c r="H102" s="140" t="s">
        <v>238</v>
      </c>
      <c r="I102" s="140" t="s">
        <v>238</v>
      </c>
      <c r="J102" s="138" t="s">
        <v>9</v>
      </c>
      <c r="K102" s="141">
        <v>5.4999999999999997E-3</v>
      </c>
      <c r="L102" s="141">
        <v>5.4999999999999997E-3</v>
      </c>
      <c r="M102" s="140">
        <v>0</v>
      </c>
      <c r="N102" s="142">
        <v>46054</v>
      </c>
      <c r="O102" s="3" t="b">
        <v>1</v>
      </c>
      <c r="P102" s="3"/>
      <c r="Q102" s="54"/>
      <c r="R102" s="3"/>
      <c r="Y102" s="2"/>
    </row>
    <row r="103" spans="1:25" s="20" customFormat="1" x14ac:dyDescent="0.25">
      <c r="A103" s="137" t="b">
        <v>0</v>
      </c>
      <c r="B103" s="137" t="s">
        <v>257</v>
      </c>
      <c r="C103" s="137" t="s">
        <v>257</v>
      </c>
      <c r="D103" s="138" t="s">
        <v>41</v>
      </c>
      <c r="E103" s="139" t="s">
        <v>274</v>
      </c>
      <c r="F103" s="138" t="s">
        <v>5</v>
      </c>
      <c r="G103" s="143">
        <v>45540687</v>
      </c>
      <c r="H103" s="140" t="s">
        <v>238</v>
      </c>
      <c r="I103" s="140" t="s">
        <v>238</v>
      </c>
      <c r="J103" s="138" t="s">
        <v>9</v>
      </c>
      <c r="K103" s="141">
        <v>5.4999999999999997E-3</v>
      </c>
      <c r="L103" s="141">
        <v>5.4999999999999997E-3</v>
      </c>
      <c r="M103" s="140">
        <v>0</v>
      </c>
      <c r="N103" s="142">
        <v>46054</v>
      </c>
      <c r="O103" s="3" t="b">
        <v>1</v>
      </c>
      <c r="P103" s="3"/>
      <c r="Q103" s="54"/>
      <c r="R103" s="3"/>
      <c r="Y103" s="2"/>
    </row>
    <row r="104" spans="1:25" s="20" customFormat="1" x14ac:dyDescent="0.25">
      <c r="A104" s="137" t="b">
        <v>0</v>
      </c>
      <c r="B104" s="137" t="s">
        <v>257</v>
      </c>
      <c r="C104" s="137" t="s">
        <v>257</v>
      </c>
      <c r="D104" s="138" t="s">
        <v>41</v>
      </c>
      <c r="E104" s="139" t="s">
        <v>277</v>
      </c>
      <c r="F104" s="138" t="s">
        <v>5</v>
      </c>
      <c r="G104" s="143">
        <v>86607525</v>
      </c>
      <c r="H104" s="140" t="s">
        <v>238</v>
      </c>
      <c r="I104" s="140" t="s">
        <v>238</v>
      </c>
      <c r="J104" s="138" t="s">
        <v>9</v>
      </c>
      <c r="K104" s="141">
        <v>5.4999999999999997E-3</v>
      </c>
      <c r="L104" s="141">
        <v>5.4999999999999997E-3</v>
      </c>
      <c r="M104" s="140">
        <v>0</v>
      </c>
      <c r="N104" s="142">
        <v>46054</v>
      </c>
      <c r="O104" s="3" t="b">
        <v>1</v>
      </c>
      <c r="P104" s="3"/>
      <c r="Q104" s="54"/>
      <c r="R104" s="3"/>
      <c r="Y104" s="2"/>
    </row>
    <row r="105" spans="1:25" s="20" customFormat="1" x14ac:dyDescent="0.25">
      <c r="A105" s="137" t="b">
        <v>0</v>
      </c>
      <c r="B105" s="137" t="s">
        <v>257</v>
      </c>
      <c r="C105" s="137" t="s">
        <v>257</v>
      </c>
      <c r="D105" s="138" t="s">
        <v>41</v>
      </c>
      <c r="E105" s="139" t="s">
        <v>275</v>
      </c>
      <c r="F105" s="138" t="s">
        <v>5</v>
      </c>
      <c r="G105" s="143">
        <v>109385195</v>
      </c>
      <c r="H105" s="140" t="s">
        <v>238</v>
      </c>
      <c r="I105" s="140" t="s">
        <v>238</v>
      </c>
      <c r="J105" s="138" t="s">
        <v>9</v>
      </c>
      <c r="K105" s="141">
        <v>5.4999999999999997E-3</v>
      </c>
      <c r="L105" s="141">
        <v>5.4999999999999997E-3</v>
      </c>
      <c r="M105" s="140">
        <v>0</v>
      </c>
      <c r="N105" s="142">
        <v>46054</v>
      </c>
      <c r="O105" s="3" t="b">
        <v>1</v>
      </c>
      <c r="P105" s="3"/>
      <c r="Q105" s="54"/>
      <c r="R105" s="3"/>
      <c r="Y105" s="2"/>
    </row>
    <row r="106" spans="1:25" s="20" customFormat="1" x14ac:dyDescent="0.25">
      <c r="A106" s="137" t="b">
        <v>0</v>
      </c>
      <c r="B106" s="137" t="s">
        <v>257</v>
      </c>
      <c r="C106" s="137" t="s">
        <v>257</v>
      </c>
      <c r="D106" s="138" t="s">
        <v>41</v>
      </c>
      <c r="E106" s="139" t="s">
        <v>229</v>
      </c>
      <c r="F106" s="138" t="s">
        <v>5</v>
      </c>
      <c r="G106" s="143">
        <v>57091568</v>
      </c>
      <c r="H106" s="140" t="s">
        <v>238</v>
      </c>
      <c r="I106" s="140" t="s">
        <v>238</v>
      </c>
      <c r="J106" s="138" t="s">
        <v>9</v>
      </c>
      <c r="K106" s="141">
        <v>5.4999999999999997E-3</v>
      </c>
      <c r="L106" s="141">
        <v>5.4999999999999997E-3</v>
      </c>
      <c r="M106" s="140">
        <v>0</v>
      </c>
      <c r="N106" s="142">
        <v>46054</v>
      </c>
      <c r="O106" s="3" t="b">
        <v>1</v>
      </c>
      <c r="P106" s="3"/>
      <c r="Q106" s="54"/>
      <c r="R106" s="3"/>
      <c r="Y106" s="2"/>
    </row>
    <row r="107" spans="1:25" s="20" customFormat="1" x14ac:dyDescent="0.25">
      <c r="A107" s="137" t="b">
        <v>0</v>
      </c>
      <c r="B107" s="137" t="s">
        <v>257</v>
      </c>
      <c r="C107" s="137" t="s">
        <v>257</v>
      </c>
      <c r="D107" s="138" t="s">
        <v>41</v>
      </c>
      <c r="E107" s="139" t="s">
        <v>230</v>
      </c>
      <c r="F107" s="138" t="s">
        <v>5</v>
      </c>
      <c r="G107" s="143">
        <v>57091583</v>
      </c>
      <c r="H107" s="140" t="s">
        <v>238</v>
      </c>
      <c r="I107" s="140" t="s">
        <v>238</v>
      </c>
      <c r="J107" s="138" t="s">
        <v>9</v>
      </c>
      <c r="K107" s="141">
        <v>5.4999999999999997E-3</v>
      </c>
      <c r="L107" s="141">
        <v>5.4999999999999997E-3</v>
      </c>
      <c r="M107" s="140">
        <v>0</v>
      </c>
      <c r="N107" s="142">
        <v>46054</v>
      </c>
      <c r="O107" s="3" t="b">
        <v>1</v>
      </c>
      <c r="P107" s="3"/>
      <c r="Q107" s="54"/>
      <c r="R107" s="3"/>
      <c r="Y107" s="2"/>
    </row>
    <row r="108" spans="1:25" s="20" customFormat="1" x14ac:dyDescent="0.25">
      <c r="A108" s="137" t="b">
        <v>0</v>
      </c>
      <c r="B108" s="137" t="s">
        <v>257</v>
      </c>
      <c r="C108" s="137" t="s">
        <v>257</v>
      </c>
      <c r="D108" s="138" t="s">
        <v>41</v>
      </c>
      <c r="E108" s="139" t="s">
        <v>231</v>
      </c>
      <c r="F108" s="138" t="s">
        <v>5</v>
      </c>
      <c r="G108" s="143">
        <v>45540689</v>
      </c>
      <c r="H108" s="140" t="s">
        <v>238</v>
      </c>
      <c r="I108" s="140" t="s">
        <v>238</v>
      </c>
      <c r="J108" s="138" t="s">
        <v>9</v>
      </c>
      <c r="K108" s="141">
        <v>5.4999999999999997E-3</v>
      </c>
      <c r="L108" s="141">
        <v>5.4999999999999997E-3</v>
      </c>
      <c r="M108" s="140">
        <v>0</v>
      </c>
      <c r="N108" s="142">
        <v>46054</v>
      </c>
      <c r="O108" s="3" t="b">
        <v>1</v>
      </c>
      <c r="P108" s="3"/>
      <c r="Q108" s="54"/>
      <c r="R108" s="3"/>
      <c r="Y108" s="2"/>
    </row>
    <row r="109" spans="1:25" s="20" customFormat="1" x14ac:dyDescent="0.25">
      <c r="A109" s="137" t="b">
        <v>0</v>
      </c>
      <c r="B109" s="137" t="s">
        <v>257</v>
      </c>
      <c r="C109" s="137" t="s">
        <v>257</v>
      </c>
      <c r="D109" s="138" t="s">
        <v>41</v>
      </c>
      <c r="E109" s="139" t="s">
        <v>232</v>
      </c>
      <c r="F109" s="138" t="s">
        <v>5</v>
      </c>
      <c r="G109" s="143">
        <v>225020107</v>
      </c>
      <c r="H109" s="140" t="s">
        <v>238</v>
      </c>
      <c r="I109" s="140" t="s">
        <v>238</v>
      </c>
      <c r="J109" s="138" t="s">
        <v>9</v>
      </c>
      <c r="K109" s="141">
        <v>5.4999999999999997E-3</v>
      </c>
      <c r="L109" s="141">
        <v>5.4999999999999997E-3</v>
      </c>
      <c r="M109" s="140">
        <v>0</v>
      </c>
      <c r="N109" s="142">
        <v>46054</v>
      </c>
      <c r="O109" s="3" t="b">
        <v>1</v>
      </c>
      <c r="P109" s="3"/>
      <c r="Q109" s="54"/>
      <c r="R109" s="3"/>
      <c r="Y109" s="2"/>
    </row>
    <row r="110" spans="1:25" s="20" customFormat="1" x14ac:dyDescent="0.25">
      <c r="A110" s="137" t="b">
        <v>0</v>
      </c>
      <c r="B110" s="137" t="s">
        <v>257</v>
      </c>
      <c r="C110" s="137" t="s">
        <v>257</v>
      </c>
      <c r="D110" s="138" t="s">
        <v>41</v>
      </c>
      <c r="E110" s="139" t="s">
        <v>233</v>
      </c>
      <c r="F110" s="138" t="s">
        <v>5</v>
      </c>
      <c r="G110" s="143">
        <v>15547841</v>
      </c>
      <c r="H110" s="140" t="s">
        <v>238</v>
      </c>
      <c r="I110" s="140" t="s">
        <v>238</v>
      </c>
      <c r="J110" s="138" t="s">
        <v>9</v>
      </c>
      <c r="K110" s="141">
        <v>5.4999999999999997E-3</v>
      </c>
      <c r="L110" s="141">
        <v>5.4999999999999997E-3</v>
      </c>
      <c r="M110" s="140">
        <v>0</v>
      </c>
      <c r="N110" s="142">
        <v>46054</v>
      </c>
      <c r="O110" s="3" t="b">
        <v>1</v>
      </c>
      <c r="P110" s="3"/>
      <c r="Q110" s="54"/>
      <c r="R110" s="3"/>
      <c r="Y110" s="2"/>
    </row>
    <row r="111" spans="1:25" s="20" customFormat="1" x14ac:dyDescent="0.25">
      <c r="A111" s="137" t="b">
        <v>0</v>
      </c>
      <c r="B111" s="137" t="s">
        <v>257</v>
      </c>
      <c r="C111" s="137" t="s">
        <v>257</v>
      </c>
      <c r="D111" s="138" t="s">
        <v>41</v>
      </c>
      <c r="E111" s="139" t="s">
        <v>276</v>
      </c>
      <c r="F111" s="138" t="s">
        <v>5</v>
      </c>
      <c r="G111" s="143">
        <v>293893522</v>
      </c>
      <c r="H111" s="140" t="s">
        <v>238</v>
      </c>
      <c r="I111" s="140" t="s">
        <v>238</v>
      </c>
      <c r="J111" s="138" t="s">
        <v>9</v>
      </c>
      <c r="K111" s="141">
        <v>5.4999999999999997E-3</v>
      </c>
      <c r="L111" s="141">
        <v>5.4999999999999997E-3</v>
      </c>
      <c r="M111" s="140">
        <v>0</v>
      </c>
      <c r="N111" s="142">
        <v>46054</v>
      </c>
      <c r="O111" s="3" t="b">
        <v>1</v>
      </c>
      <c r="P111" s="3"/>
      <c r="Q111" s="54"/>
      <c r="R111" s="3"/>
      <c r="Y111" s="2"/>
    </row>
    <row r="112" spans="1:25" s="20" customFormat="1" x14ac:dyDescent="0.25">
      <c r="A112" s="137" t="b">
        <v>0</v>
      </c>
      <c r="B112" s="137" t="s">
        <v>257</v>
      </c>
      <c r="C112" s="137" t="s">
        <v>257</v>
      </c>
      <c r="D112" s="138" t="s">
        <v>41</v>
      </c>
      <c r="E112" s="139" t="s">
        <v>265</v>
      </c>
      <c r="F112" s="138" t="s">
        <v>5</v>
      </c>
      <c r="G112" s="143">
        <v>42454562</v>
      </c>
      <c r="H112" s="140" t="s">
        <v>238</v>
      </c>
      <c r="I112" s="140" t="s">
        <v>238</v>
      </c>
      <c r="J112" s="138" t="s">
        <v>9</v>
      </c>
      <c r="K112" s="141">
        <v>5.4999999999999997E-3</v>
      </c>
      <c r="L112" s="141">
        <v>5.4999999999999997E-3</v>
      </c>
      <c r="M112" s="140">
        <v>0</v>
      </c>
      <c r="N112" s="142">
        <v>46054</v>
      </c>
      <c r="O112" s="3" t="b">
        <v>1</v>
      </c>
      <c r="P112" s="3"/>
      <c r="Q112" s="54"/>
      <c r="R112" s="3"/>
      <c r="Y112" s="2"/>
    </row>
    <row r="113" spans="1:27" s="20" customFormat="1" x14ac:dyDescent="0.25">
      <c r="A113" s="137" t="b">
        <v>0</v>
      </c>
      <c r="B113" s="137" t="s">
        <v>257</v>
      </c>
      <c r="C113" s="137" t="s">
        <v>257</v>
      </c>
      <c r="D113" s="138" t="s">
        <v>41</v>
      </c>
      <c r="E113" s="139" t="s">
        <v>293</v>
      </c>
      <c r="F113" s="138" t="s">
        <v>5</v>
      </c>
      <c r="G113" s="143">
        <v>44053714</v>
      </c>
      <c r="H113" s="140" t="s">
        <v>238</v>
      </c>
      <c r="I113" s="140" t="s">
        <v>238</v>
      </c>
      <c r="J113" s="138" t="s">
        <v>9</v>
      </c>
      <c r="K113" s="141">
        <v>5.4999999999999997E-3</v>
      </c>
      <c r="L113" s="141">
        <v>5.4999999999999997E-3</v>
      </c>
      <c r="M113" s="140">
        <v>0</v>
      </c>
      <c r="N113" s="142">
        <v>46054</v>
      </c>
      <c r="O113" s="3" t="b">
        <v>1</v>
      </c>
      <c r="P113" s="3"/>
      <c r="Q113" s="54"/>
      <c r="R113" s="3"/>
      <c r="Y113" s="2"/>
    </row>
    <row r="114" spans="1:27" s="20" customFormat="1" x14ac:dyDescent="0.25">
      <c r="A114" s="137" t="b">
        <v>0</v>
      </c>
      <c r="B114" s="137" t="s">
        <v>257</v>
      </c>
      <c r="C114" s="137" t="s">
        <v>257</v>
      </c>
      <c r="D114" s="138" t="s">
        <v>41</v>
      </c>
      <c r="E114" s="139" t="s">
        <v>234</v>
      </c>
      <c r="F114" s="138" t="s">
        <v>5</v>
      </c>
      <c r="G114" s="143">
        <v>70363054</v>
      </c>
      <c r="H114" s="140" t="s">
        <v>238</v>
      </c>
      <c r="I114" s="140" t="s">
        <v>238</v>
      </c>
      <c r="J114" s="138" t="s">
        <v>9</v>
      </c>
      <c r="K114" s="141">
        <v>5.4999999999999997E-3</v>
      </c>
      <c r="L114" s="141">
        <v>5.4999999999999997E-3</v>
      </c>
      <c r="M114" s="140">
        <v>0</v>
      </c>
      <c r="N114" s="142">
        <v>46054</v>
      </c>
      <c r="O114" s="3" t="b">
        <v>1</v>
      </c>
      <c r="P114" s="3"/>
      <c r="Q114" s="54"/>
      <c r="R114" s="3"/>
      <c r="Y114" s="2"/>
    </row>
    <row r="115" spans="1:27" s="20" customFormat="1" x14ac:dyDescent="0.25">
      <c r="A115" s="137" t="b">
        <v>0</v>
      </c>
      <c r="B115" s="137" t="s">
        <v>257</v>
      </c>
      <c r="C115" s="137" t="s">
        <v>257</v>
      </c>
      <c r="D115" s="138" t="s">
        <v>41</v>
      </c>
      <c r="E115" s="139" t="s">
        <v>235</v>
      </c>
      <c r="F115" s="138" t="s">
        <v>5</v>
      </c>
      <c r="G115" s="143">
        <v>70363056</v>
      </c>
      <c r="H115" s="140" t="s">
        <v>238</v>
      </c>
      <c r="I115" s="140" t="s">
        <v>238</v>
      </c>
      <c r="J115" s="138" t="s">
        <v>9</v>
      </c>
      <c r="K115" s="141">
        <v>5.4999999999999997E-3</v>
      </c>
      <c r="L115" s="141">
        <v>5.4999999999999997E-3</v>
      </c>
      <c r="M115" s="140">
        <v>0</v>
      </c>
      <c r="N115" s="142">
        <v>46054</v>
      </c>
      <c r="O115" s="3" t="b">
        <v>1</v>
      </c>
      <c r="P115" s="3"/>
      <c r="Q115" s="54"/>
      <c r="R115" s="3"/>
      <c r="Y115" s="2"/>
    </row>
    <row r="116" spans="1:27" s="20" customFormat="1" x14ac:dyDescent="0.25">
      <c r="A116" s="137" t="b">
        <v>0</v>
      </c>
      <c r="B116" s="137" t="s">
        <v>257</v>
      </c>
      <c r="C116" s="137" t="s">
        <v>257</v>
      </c>
      <c r="D116" s="138" t="s">
        <v>41</v>
      </c>
      <c r="E116" s="139" t="s">
        <v>236</v>
      </c>
      <c r="F116" s="138" t="s">
        <v>5</v>
      </c>
      <c r="G116" s="143">
        <v>70363041</v>
      </c>
      <c r="H116" s="140" t="s">
        <v>238</v>
      </c>
      <c r="I116" s="140" t="s">
        <v>238</v>
      </c>
      <c r="J116" s="138" t="s">
        <v>9</v>
      </c>
      <c r="K116" s="141">
        <v>5.4999999999999997E-3</v>
      </c>
      <c r="L116" s="141">
        <v>5.4999999999999997E-3</v>
      </c>
      <c r="M116" s="140">
        <v>0</v>
      </c>
      <c r="N116" s="142">
        <v>46054</v>
      </c>
      <c r="O116" s="3" t="b">
        <v>1</v>
      </c>
      <c r="P116" s="3"/>
      <c r="Q116" s="54"/>
      <c r="R116" s="3"/>
      <c r="Y116" s="2"/>
    </row>
    <row r="117" spans="1:27" s="20" customFormat="1" x14ac:dyDescent="0.25">
      <c r="A117" s="137" t="b">
        <v>0</v>
      </c>
      <c r="B117" s="137" t="s">
        <v>257</v>
      </c>
      <c r="C117" s="137" t="s">
        <v>257</v>
      </c>
      <c r="D117" s="138" t="s">
        <v>41</v>
      </c>
      <c r="E117" s="139" t="s">
        <v>278</v>
      </c>
      <c r="F117" s="138" t="s">
        <v>5</v>
      </c>
      <c r="G117" s="143">
        <v>295518938</v>
      </c>
      <c r="H117" s="140" t="s">
        <v>238</v>
      </c>
      <c r="I117" s="140" t="s">
        <v>238</v>
      </c>
      <c r="J117" s="138" t="s">
        <v>9</v>
      </c>
      <c r="K117" s="141">
        <v>5.4999999999999997E-3</v>
      </c>
      <c r="L117" s="141">
        <v>5.4999999999999997E-3</v>
      </c>
      <c r="M117" s="140">
        <v>0</v>
      </c>
      <c r="N117" s="142">
        <v>46054</v>
      </c>
      <c r="O117" s="3" t="b">
        <v>1</v>
      </c>
      <c r="P117" s="3"/>
      <c r="Q117" s="54"/>
      <c r="R117" s="3"/>
      <c r="Y117" s="2"/>
    </row>
    <row r="118" spans="1:27" s="20" customFormat="1" x14ac:dyDescent="0.25">
      <c r="A118" s="137" t="b">
        <v>0</v>
      </c>
      <c r="B118" s="137" t="s">
        <v>257</v>
      </c>
      <c r="C118" s="137" t="s">
        <v>257</v>
      </c>
      <c r="D118" s="138" t="s">
        <v>41</v>
      </c>
      <c r="E118" s="139" t="s">
        <v>237</v>
      </c>
      <c r="F118" s="138" t="s">
        <v>5</v>
      </c>
      <c r="G118" s="143">
        <v>204473835</v>
      </c>
      <c r="H118" s="140" t="s">
        <v>238</v>
      </c>
      <c r="I118" s="140" t="s">
        <v>238</v>
      </c>
      <c r="J118" s="138" t="s">
        <v>9</v>
      </c>
      <c r="K118" s="141">
        <v>5.4999999999999997E-3</v>
      </c>
      <c r="L118" s="141">
        <v>5.4999999999999997E-3</v>
      </c>
      <c r="M118" s="140">
        <v>0</v>
      </c>
      <c r="N118" s="142">
        <v>46054</v>
      </c>
      <c r="O118" s="3" t="b">
        <v>1</v>
      </c>
      <c r="P118" s="3"/>
      <c r="Q118" s="54"/>
      <c r="R118" s="3"/>
      <c r="Y118" s="2"/>
    </row>
    <row r="119" spans="1:27" s="20" customFormat="1" x14ac:dyDescent="0.25">
      <c r="A119" s="137" t="b">
        <v>0</v>
      </c>
      <c r="B119" s="137" t="s">
        <v>257</v>
      </c>
      <c r="C119" s="137" t="s">
        <v>257</v>
      </c>
      <c r="D119" s="138" t="s">
        <v>41</v>
      </c>
      <c r="E119" s="139" t="s">
        <v>289</v>
      </c>
      <c r="F119" s="138" t="s">
        <v>5</v>
      </c>
      <c r="G119" s="143">
        <v>681156853</v>
      </c>
      <c r="H119" s="140" t="s">
        <v>238</v>
      </c>
      <c r="I119" s="140" t="s">
        <v>238</v>
      </c>
      <c r="J119" s="138" t="s">
        <v>9</v>
      </c>
      <c r="K119" s="141">
        <v>5.4999999999999997E-3</v>
      </c>
      <c r="L119" s="141">
        <v>5.4999999999999997E-3</v>
      </c>
      <c r="M119" s="140">
        <v>0</v>
      </c>
      <c r="N119" s="142">
        <v>46054</v>
      </c>
      <c r="O119" s="3" t="b">
        <v>1</v>
      </c>
      <c r="P119" s="3"/>
      <c r="Q119" s="54"/>
      <c r="R119" s="3"/>
      <c r="Y119" s="2"/>
    </row>
    <row r="120" spans="1:27" s="20" customFormat="1" x14ac:dyDescent="0.25">
      <c r="A120" s="137" t="b">
        <v>0</v>
      </c>
      <c r="B120" s="137" t="s">
        <v>257</v>
      </c>
      <c r="C120" s="137" t="s">
        <v>257</v>
      </c>
      <c r="D120" s="138" t="s">
        <v>41</v>
      </c>
      <c r="E120" s="139" t="s">
        <v>290</v>
      </c>
      <c r="F120" s="138" t="s">
        <v>5</v>
      </c>
      <c r="G120" s="143">
        <v>128835014</v>
      </c>
      <c r="H120" s="140" t="s">
        <v>238</v>
      </c>
      <c r="I120" s="140" t="s">
        <v>238</v>
      </c>
      <c r="J120" s="138" t="s">
        <v>9</v>
      </c>
      <c r="K120" s="141">
        <v>5.4999999999999997E-3</v>
      </c>
      <c r="L120" s="141">
        <v>5.4999999999999997E-3</v>
      </c>
      <c r="M120" s="140">
        <v>0</v>
      </c>
      <c r="N120" s="142">
        <v>46054</v>
      </c>
      <c r="O120" s="3" t="b">
        <v>1</v>
      </c>
      <c r="P120" s="3"/>
      <c r="Q120" s="54"/>
      <c r="R120" s="3"/>
      <c r="Y120" s="2"/>
    </row>
    <row r="121" spans="1:27" x14ac:dyDescent="0.25">
      <c r="A121" s="4" t="b">
        <v>0</v>
      </c>
      <c r="B121" s="4" t="s">
        <v>18</v>
      </c>
      <c r="C121" s="4" t="s">
        <v>18</v>
      </c>
      <c r="D121" s="20" t="s">
        <v>45</v>
      </c>
      <c r="E121" s="128" t="s">
        <v>45</v>
      </c>
      <c r="F121" s="20" t="s">
        <v>5</v>
      </c>
      <c r="G121" s="20">
        <v>890244267</v>
      </c>
      <c r="H121" s="3" t="s">
        <v>34</v>
      </c>
      <c r="I121" s="3" t="s">
        <v>18</v>
      </c>
      <c r="J121" s="22" t="s">
        <v>9</v>
      </c>
      <c r="K121" s="28">
        <v>1.5</v>
      </c>
      <c r="L121" s="28">
        <v>1.5</v>
      </c>
      <c r="M121" s="3">
        <v>0</v>
      </c>
      <c r="N121" s="3"/>
      <c r="O121" s="3" t="b">
        <v>0</v>
      </c>
      <c r="P121" s="20"/>
      <c r="Q121" s="20"/>
      <c r="R121" s="20"/>
      <c r="S121" s="20"/>
      <c r="T121" s="2"/>
      <c r="U121" s="28"/>
      <c r="V121" s="2"/>
      <c r="X121" s="20"/>
      <c r="Y121" s="3"/>
    </row>
    <row r="122" spans="1:27" x14ac:dyDescent="0.25">
      <c r="G122" s="20"/>
      <c r="H122" s="20"/>
      <c r="I122" s="29"/>
      <c r="J122" s="29"/>
      <c r="K122" s="20"/>
      <c r="L122" s="20"/>
      <c r="M122" s="20"/>
      <c r="N122" s="20"/>
      <c r="O122" s="20"/>
      <c r="P122" s="20"/>
      <c r="Q122" s="20"/>
      <c r="R122" s="20"/>
      <c r="W122" s="20"/>
    </row>
    <row r="123" spans="1:27" x14ac:dyDescent="0.25">
      <c r="G123" s="20"/>
      <c r="H123" s="20"/>
      <c r="I123" s="29"/>
      <c r="J123" s="29"/>
      <c r="K123" s="20"/>
      <c r="L123" s="20"/>
      <c r="M123" s="20"/>
      <c r="N123" s="20"/>
      <c r="O123" s="20"/>
      <c r="P123" s="20"/>
      <c r="Q123" s="20"/>
      <c r="R123" s="20"/>
      <c r="W123" s="20"/>
    </row>
    <row r="124" spans="1:27" x14ac:dyDescent="0.25">
      <c r="G124" s="20"/>
      <c r="H124" s="20"/>
      <c r="I124" s="29"/>
      <c r="J124" s="29"/>
      <c r="K124" s="20"/>
      <c r="L124" s="20"/>
      <c r="M124" s="20"/>
      <c r="N124" s="20"/>
      <c r="O124" s="20"/>
      <c r="P124" s="20"/>
      <c r="Q124" s="20"/>
      <c r="R124" s="20"/>
      <c r="W124" s="20"/>
    </row>
    <row r="125" spans="1:27" x14ac:dyDescent="0.25">
      <c r="G125" s="20"/>
      <c r="H125" s="20"/>
      <c r="I125" s="29"/>
      <c r="J125" s="29"/>
      <c r="K125" s="20"/>
      <c r="L125" s="20"/>
      <c r="M125" s="20"/>
      <c r="N125" s="20"/>
      <c r="O125" s="20"/>
      <c r="P125" s="20"/>
      <c r="Q125" s="20"/>
      <c r="R125" s="20"/>
      <c r="W125" s="20"/>
    </row>
    <row r="126" spans="1:27" s="34" customFormat="1" x14ac:dyDescent="0.25">
      <c r="A126" s="33" t="s">
        <v>119</v>
      </c>
      <c r="B126" s="34" t="s">
        <v>120</v>
      </c>
      <c r="C126" s="34" t="s">
        <v>124</v>
      </c>
      <c r="D126" s="34" t="s">
        <v>121</v>
      </c>
      <c r="E126" s="42" t="s">
        <v>122</v>
      </c>
      <c r="F126" s="42" t="s">
        <v>123</v>
      </c>
      <c r="G126" s="34" t="s">
        <v>125</v>
      </c>
      <c r="H126" s="42" t="s">
        <v>126</v>
      </c>
      <c r="I126" s="56" t="s">
        <v>157</v>
      </c>
      <c r="J126" s="56" t="s">
        <v>158</v>
      </c>
      <c r="K126" s="42" t="s">
        <v>159</v>
      </c>
      <c r="L126" s="42" t="s">
        <v>160</v>
      </c>
      <c r="M126" s="34" t="s">
        <v>127</v>
      </c>
      <c r="N126" s="46" t="s">
        <v>128</v>
      </c>
      <c r="O126" s="42" t="s">
        <v>129</v>
      </c>
      <c r="P126" s="42" t="s">
        <v>130</v>
      </c>
      <c r="Q126" s="42" t="s">
        <v>131</v>
      </c>
      <c r="R126" s="42" t="s">
        <v>132</v>
      </c>
      <c r="S126" s="35" t="s">
        <v>133</v>
      </c>
      <c r="T126" s="34" t="s">
        <v>134</v>
      </c>
      <c r="U126" s="36" t="s">
        <v>135</v>
      </c>
      <c r="V126" s="36" t="s">
        <v>136</v>
      </c>
      <c r="W126" s="34" t="s">
        <v>137</v>
      </c>
      <c r="X126" s="51" t="s">
        <v>138</v>
      </c>
      <c r="Y126" s="34" t="s">
        <v>139</v>
      </c>
      <c r="Z126" s="34" t="s">
        <v>140</v>
      </c>
      <c r="AA126" s="36" t="s">
        <v>141</v>
      </c>
    </row>
    <row r="127" spans="1:27" hidden="1" x14ac:dyDescent="0.25">
      <c r="A127" s="4"/>
      <c r="B127" s="20" t="s">
        <v>46</v>
      </c>
      <c r="C127" s="20" t="s">
        <v>63</v>
      </c>
      <c r="D127" s="2" t="s">
        <v>24</v>
      </c>
      <c r="E127" s="37" t="s">
        <v>18</v>
      </c>
      <c r="F127" s="7" t="s">
        <v>34</v>
      </c>
      <c r="G127" s="2" t="s">
        <v>49</v>
      </c>
      <c r="H127" s="7"/>
      <c r="I127" s="31"/>
      <c r="J127" s="31"/>
      <c r="K127" s="7"/>
      <c r="L127" s="7"/>
      <c r="M127" s="2" t="s">
        <v>24</v>
      </c>
      <c r="N127" s="40" t="s">
        <v>24</v>
      </c>
      <c r="O127" s="7" t="s">
        <v>24</v>
      </c>
      <c r="P127" s="7"/>
      <c r="Q127" s="7"/>
      <c r="R127" s="7"/>
      <c r="S127" s="28"/>
      <c r="T127" s="2"/>
      <c r="U127" s="3"/>
      <c r="W127" s="2"/>
      <c r="X127" s="38"/>
      <c r="Y127" s="2" t="s">
        <v>18</v>
      </c>
      <c r="AA127" s="3"/>
    </row>
    <row r="128" spans="1:27" s="9" customFormat="1" hidden="1" x14ac:dyDescent="0.25">
      <c r="A128" s="4"/>
      <c r="B128" s="20" t="s">
        <v>46</v>
      </c>
      <c r="C128" s="20" t="s">
        <v>62</v>
      </c>
      <c r="D128" s="2" t="s">
        <v>24</v>
      </c>
      <c r="E128" s="37" t="s">
        <v>18</v>
      </c>
      <c r="F128" s="7" t="s">
        <v>33</v>
      </c>
      <c r="G128" s="2" t="s">
        <v>37</v>
      </c>
      <c r="H128" s="7"/>
      <c r="I128" s="31"/>
      <c r="J128" s="31"/>
      <c r="K128" s="7"/>
      <c r="L128" s="7"/>
      <c r="M128" s="2" t="s">
        <v>24</v>
      </c>
      <c r="N128" s="40" t="s">
        <v>24</v>
      </c>
      <c r="O128" s="7" t="s">
        <v>24</v>
      </c>
      <c r="P128" s="7"/>
      <c r="Q128" s="7"/>
      <c r="R128" s="7"/>
      <c r="S128" s="28"/>
      <c r="T128" s="2"/>
      <c r="U128" s="3"/>
      <c r="V128" s="3"/>
      <c r="W128" s="2"/>
      <c r="X128" s="38"/>
      <c r="Y128" s="2" t="s">
        <v>33</v>
      </c>
      <c r="Z128" s="2"/>
      <c r="AA128" s="3"/>
    </row>
    <row r="129" spans="1:27" s="15" customFormat="1" hidden="1" x14ac:dyDescent="0.25">
      <c r="A129" s="4"/>
      <c r="B129" s="2" t="s">
        <v>45</v>
      </c>
      <c r="C129" s="20" t="s">
        <v>72</v>
      </c>
      <c r="D129" s="2" t="s">
        <v>23</v>
      </c>
      <c r="E129" s="37" t="s">
        <v>18</v>
      </c>
      <c r="F129" s="7" t="s">
        <v>33</v>
      </c>
      <c r="G129" s="2"/>
      <c r="H129" s="7"/>
      <c r="I129" s="31"/>
      <c r="J129" s="31"/>
      <c r="K129" s="7"/>
      <c r="L129" s="7"/>
      <c r="M129" s="2" t="s">
        <v>24</v>
      </c>
      <c r="N129" s="40"/>
      <c r="O129" s="7"/>
      <c r="P129" s="7"/>
      <c r="Q129" s="39"/>
      <c r="R129" s="39"/>
      <c r="S129" s="28"/>
      <c r="T129" s="5"/>
      <c r="U129" s="3"/>
      <c r="V129" s="3"/>
      <c r="W129" s="5"/>
      <c r="X129" s="38"/>
      <c r="Y129" s="2"/>
      <c r="Z129" s="2"/>
      <c r="AA129" s="3"/>
    </row>
    <row r="130" spans="1:27" hidden="1" x14ac:dyDescent="0.25">
      <c r="A130" s="4" t="s">
        <v>142</v>
      </c>
      <c r="B130" s="20" t="s">
        <v>32</v>
      </c>
      <c r="C130" s="20" t="s">
        <v>30</v>
      </c>
      <c r="D130" s="20" t="s">
        <v>79</v>
      </c>
      <c r="E130" s="37" t="s">
        <v>18</v>
      </c>
      <c r="F130" s="37" t="s">
        <v>33</v>
      </c>
      <c r="G130" s="20" t="s">
        <v>36</v>
      </c>
      <c r="H130" s="44" t="s">
        <v>24</v>
      </c>
      <c r="I130" s="55"/>
      <c r="J130" s="55"/>
      <c r="K130" s="44"/>
      <c r="L130" s="44"/>
      <c r="M130" s="22" t="s">
        <v>24</v>
      </c>
      <c r="N130" s="45" t="s">
        <v>24</v>
      </c>
      <c r="O130" s="44" t="s">
        <v>24</v>
      </c>
      <c r="P130" s="37" t="s">
        <v>8</v>
      </c>
      <c r="Q130" s="48">
        <v>0</v>
      </c>
      <c r="R130" s="48">
        <v>0</v>
      </c>
      <c r="S130" s="22">
        <v>0</v>
      </c>
      <c r="T130" s="21">
        <v>46047</v>
      </c>
      <c r="U130" s="22">
        <v>0</v>
      </c>
      <c r="V130" s="22">
        <v>0</v>
      </c>
      <c r="W130" s="21">
        <v>46046</v>
      </c>
      <c r="X130" s="52" t="s">
        <v>24</v>
      </c>
      <c r="Y130" s="20" t="s">
        <v>24</v>
      </c>
      <c r="Z130" s="20" t="s">
        <v>24</v>
      </c>
      <c r="AA130" s="3"/>
    </row>
    <row r="131" spans="1:27" s="25" customFormat="1" x14ac:dyDescent="0.25">
      <c r="A131" s="4"/>
      <c r="B131" s="20" t="s">
        <v>3</v>
      </c>
      <c r="C131" s="37" t="s">
        <v>64</v>
      </c>
      <c r="D131" s="20" t="s">
        <v>23</v>
      </c>
      <c r="E131" s="37" t="s">
        <v>18</v>
      </c>
      <c r="F131" s="37"/>
      <c r="G131" s="20"/>
      <c r="H131" s="37"/>
      <c r="I131" s="55"/>
      <c r="J131" s="55"/>
      <c r="K131" s="37"/>
      <c r="L131" s="37"/>
      <c r="M131" s="20" t="s">
        <v>24</v>
      </c>
      <c r="N131" s="47"/>
      <c r="O131" s="37"/>
      <c r="P131" s="37"/>
      <c r="Q131" s="48"/>
      <c r="R131" s="48"/>
      <c r="S131" s="29"/>
      <c r="T131" s="21"/>
      <c r="U131" s="22"/>
      <c r="V131" s="22"/>
      <c r="W131" s="21"/>
      <c r="X131" s="44"/>
      <c r="Y131" s="20"/>
      <c r="Z131" s="20"/>
      <c r="AA131" s="3"/>
    </row>
    <row r="132" spans="1:27" s="20" customFormat="1" hidden="1" x14ac:dyDescent="0.25">
      <c r="A132" s="4"/>
      <c r="B132" s="20" t="s">
        <v>46</v>
      </c>
      <c r="C132" s="20" t="s">
        <v>64</v>
      </c>
      <c r="D132" s="20" t="s">
        <v>24</v>
      </c>
      <c r="E132" s="37" t="s">
        <v>18</v>
      </c>
      <c r="F132" s="37" t="s">
        <v>34</v>
      </c>
      <c r="G132" s="20" t="s">
        <v>52</v>
      </c>
      <c r="H132" s="37"/>
      <c r="I132" s="55"/>
      <c r="J132" s="55"/>
      <c r="K132" s="37"/>
      <c r="L132" s="37"/>
      <c r="M132" s="20" t="s">
        <v>24</v>
      </c>
      <c r="N132" s="45" t="s">
        <v>24</v>
      </c>
      <c r="O132" s="37" t="s">
        <v>24</v>
      </c>
      <c r="P132" s="37"/>
      <c r="Q132" s="48"/>
      <c r="R132" s="48"/>
      <c r="S132" s="29"/>
      <c r="T132" s="21"/>
      <c r="U132" s="22"/>
      <c r="V132" s="22"/>
      <c r="W132" s="21"/>
      <c r="X132" s="44"/>
      <c r="Y132" s="20" t="s">
        <v>34</v>
      </c>
      <c r="AA132" s="3"/>
    </row>
    <row r="133" spans="1:27" s="20" customFormat="1" hidden="1" x14ac:dyDescent="0.25">
      <c r="A133" s="4" t="s">
        <v>142</v>
      </c>
      <c r="B133" s="2" t="s">
        <v>32</v>
      </c>
      <c r="C133" s="2" t="s">
        <v>27</v>
      </c>
      <c r="D133" s="2" t="s">
        <v>80</v>
      </c>
      <c r="E133" s="37" t="s">
        <v>18</v>
      </c>
      <c r="F133" s="7" t="s">
        <v>33</v>
      </c>
      <c r="G133" s="2" t="s">
        <v>56</v>
      </c>
      <c r="H133" s="38" t="s">
        <v>24</v>
      </c>
      <c r="I133" s="31"/>
      <c r="J133" s="31"/>
      <c r="K133" s="38"/>
      <c r="L133" s="38"/>
      <c r="M133" s="3" t="s">
        <v>24</v>
      </c>
      <c r="N133" s="40" t="s">
        <v>24</v>
      </c>
      <c r="O133" s="38" t="s">
        <v>24</v>
      </c>
      <c r="P133" s="7"/>
      <c r="Q133" s="30"/>
      <c r="R133" s="30"/>
      <c r="S133" s="31"/>
      <c r="T133" s="8"/>
      <c r="U133" s="3">
        <v>0</v>
      </c>
      <c r="V133" s="3">
        <v>0</v>
      </c>
      <c r="W133" s="5">
        <v>46053</v>
      </c>
      <c r="X133" s="38" t="s">
        <v>24</v>
      </c>
      <c r="Y133" s="2" t="s">
        <v>24</v>
      </c>
      <c r="Z133" s="2" t="s">
        <v>24</v>
      </c>
      <c r="AA133" s="3"/>
    </row>
    <row r="134" spans="1:27" s="9" customFormat="1" hidden="1" x14ac:dyDescent="0.25">
      <c r="A134" s="4"/>
      <c r="B134" s="20" t="s">
        <v>46</v>
      </c>
      <c r="C134" s="20" t="s">
        <v>65</v>
      </c>
      <c r="D134" s="2" t="s">
        <v>24</v>
      </c>
      <c r="E134" s="37" t="s">
        <v>18</v>
      </c>
      <c r="F134" s="7" t="s">
        <v>33</v>
      </c>
      <c r="G134" s="2" t="s">
        <v>54</v>
      </c>
      <c r="H134" s="7"/>
      <c r="I134" s="31"/>
      <c r="J134" s="31"/>
      <c r="K134" s="7"/>
      <c r="L134" s="7"/>
      <c r="M134" s="2" t="s">
        <v>24</v>
      </c>
      <c r="N134" s="40" t="s">
        <v>24</v>
      </c>
      <c r="O134" s="7" t="s">
        <v>24</v>
      </c>
      <c r="P134" s="7"/>
      <c r="Q134" s="7"/>
      <c r="R134" s="7"/>
      <c r="S134" s="28"/>
      <c r="T134" s="2"/>
      <c r="U134" s="3"/>
      <c r="V134" s="3"/>
      <c r="W134" s="2"/>
      <c r="X134" s="38"/>
      <c r="Y134" s="2" t="s">
        <v>33</v>
      </c>
      <c r="Z134" s="2"/>
      <c r="AA134" s="3"/>
    </row>
    <row r="135" spans="1:27" s="25" customFormat="1" hidden="1" x14ac:dyDescent="0.25">
      <c r="A135" s="4"/>
      <c r="B135" s="20" t="s">
        <v>46</v>
      </c>
      <c r="C135" s="20" t="s">
        <v>65</v>
      </c>
      <c r="D135" s="2" t="s">
        <v>24</v>
      </c>
      <c r="E135" s="37" t="s">
        <v>18</v>
      </c>
      <c r="F135" s="7" t="s">
        <v>34</v>
      </c>
      <c r="G135" s="2" t="s">
        <v>55</v>
      </c>
      <c r="H135" s="7"/>
      <c r="I135" s="31"/>
      <c r="J135" s="31"/>
      <c r="K135" s="7"/>
      <c r="L135" s="7"/>
      <c r="M135" s="2" t="s">
        <v>24</v>
      </c>
      <c r="N135" s="40" t="s">
        <v>24</v>
      </c>
      <c r="O135" s="7" t="s">
        <v>24</v>
      </c>
      <c r="P135" s="7"/>
      <c r="Q135" s="7"/>
      <c r="R135" s="7"/>
      <c r="S135" s="28"/>
      <c r="T135" s="2"/>
      <c r="U135" s="3"/>
      <c r="V135" s="3"/>
      <c r="W135" s="2"/>
      <c r="X135" s="38"/>
      <c r="Y135" s="2" t="s">
        <v>18</v>
      </c>
      <c r="Z135" s="2"/>
      <c r="AA135" s="3"/>
    </row>
    <row r="136" spans="1:27" x14ac:dyDescent="0.25">
      <c r="A136" s="4"/>
      <c r="B136" s="20" t="s">
        <v>3</v>
      </c>
      <c r="C136" s="20" t="s">
        <v>53</v>
      </c>
      <c r="D136" s="20" t="s">
        <v>23</v>
      </c>
      <c r="E136" s="37" t="s">
        <v>18</v>
      </c>
      <c r="F136" s="37"/>
      <c r="G136" s="20"/>
      <c r="H136" s="37"/>
      <c r="I136" s="55"/>
      <c r="J136" s="55"/>
      <c r="K136" s="37"/>
      <c r="L136" s="37"/>
      <c r="M136" s="20" t="s">
        <v>24</v>
      </c>
      <c r="N136" s="47" t="e">
        <v>#REF!</v>
      </c>
      <c r="O136" s="37"/>
      <c r="P136" s="37"/>
      <c r="Q136" s="37"/>
      <c r="R136" s="37"/>
      <c r="S136" s="29"/>
      <c r="T136" s="20"/>
      <c r="U136" s="22"/>
      <c r="V136" s="22"/>
      <c r="W136" s="20"/>
      <c r="X136" s="44"/>
      <c r="Y136" s="20"/>
      <c r="Z136" s="20"/>
      <c r="AA136" s="3"/>
    </row>
    <row r="137" spans="1:27" s="20" customFormat="1" hidden="1" x14ac:dyDescent="0.25">
      <c r="A137" s="4"/>
      <c r="B137" s="2" t="s">
        <v>45</v>
      </c>
      <c r="C137" s="20" t="s">
        <v>73</v>
      </c>
      <c r="D137" s="24" t="s">
        <v>23</v>
      </c>
      <c r="E137" s="37" t="s">
        <v>18</v>
      </c>
      <c r="F137" s="43"/>
      <c r="G137" s="9"/>
      <c r="H137" s="43"/>
      <c r="I137" s="57"/>
      <c r="J137" s="57"/>
      <c r="K137" s="43"/>
      <c r="L137" s="43"/>
      <c r="M137" s="2" t="s">
        <v>24</v>
      </c>
      <c r="N137" s="40"/>
      <c r="O137" s="43"/>
      <c r="P137" s="43"/>
      <c r="Q137" s="49"/>
      <c r="R137" s="49"/>
      <c r="S137" s="28"/>
      <c r="T137" s="12"/>
      <c r="U137" s="3"/>
      <c r="V137" s="3"/>
      <c r="W137" s="12"/>
      <c r="X137" s="38"/>
      <c r="Y137" s="9"/>
      <c r="Z137" s="9"/>
      <c r="AA137" s="3"/>
    </row>
    <row r="138" spans="1:27" s="20" customFormat="1" hidden="1" x14ac:dyDescent="0.25">
      <c r="A138" s="4"/>
      <c r="B138" s="2" t="s">
        <v>45</v>
      </c>
      <c r="C138" s="20" t="s">
        <v>26</v>
      </c>
      <c r="D138" s="2" t="s">
        <v>23</v>
      </c>
      <c r="E138" s="37" t="s">
        <v>18</v>
      </c>
      <c r="F138" s="7"/>
      <c r="G138" s="2"/>
      <c r="H138" s="7"/>
      <c r="I138" s="31"/>
      <c r="J138" s="31"/>
      <c r="K138" s="7"/>
      <c r="L138" s="7"/>
      <c r="M138" s="2" t="s">
        <v>24</v>
      </c>
      <c r="N138" s="40"/>
      <c r="O138" s="7"/>
      <c r="P138" s="7"/>
      <c r="Q138" s="39"/>
      <c r="R138" s="39"/>
      <c r="S138" s="28"/>
      <c r="T138" s="5"/>
      <c r="U138" s="3"/>
      <c r="V138" s="3"/>
      <c r="W138" s="5"/>
      <c r="X138" s="38"/>
      <c r="Y138" s="2"/>
      <c r="Z138" s="2"/>
      <c r="AA138" s="3"/>
    </row>
    <row r="139" spans="1:27" s="20" customFormat="1" hidden="1" x14ac:dyDescent="0.25">
      <c r="A139" s="4" t="s">
        <v>142</v>
      </c>
      <c r="B139" s="20" t="s">
        <v>32</v>
      </c>
      <c r="C139" s="20" t="s">
        <v>26</v>
      </c>
      <c r="D139" s="20" t="s">
        <v>81</v>
      </c>
      <c r="E139" s="37" t="s">
        <v>18</v>
      </c>
      <c r="F139" s="37" t="s">
        <v>33</v>
      </c>
      <c r="G139" s="20" t="s">
        <v>37</v>
      </c>
      <c r="H139" s="44" t="s">
        <v>24</v>
      </c>
      <c r="I139" s="55"/>
      <c r="J139" s="55"/>
      <c r="K139" s="44"/>
      <c r="L139" s="44"/>
      <c r="M139" s="22" t="s">
        <v>24</v>
      </c>
      <c r="N139" s="45" t="s">
        <v>24</v>
      </c>
      <c r="O139" s="44" t="s">
        <v>24</v>
      </c>
      <c r="P139" s="37" t="s">
        <v>8</v>
      </c>
      <c r="Q139" s="48">
        <v>5.0000000000000001E-4</v>
      </c>
      <c r="R139" s="48">
        <v>5.9999999999999995E-4</v>
      </c>
      <c r="S139" s="22">
        <v>0</v>
      </c>
      <c r="T139" s="21">
        <v>46047</v>
      </c>
      <c r="U139" s="22">
        <v>0</v>
      </c>
      <c r="V139" s="22">
        <v>0</v>
      </c>
      <c r="W139" s="21">
        <v>46046</v>
      </c>
      <c r="X139" s="52" t="s">
        <v>24</v>
      </c>
      <c r="Y139" s="20" t="s">
        <v>24</v>
      </c>
      <c r="Z139" s="20" t="s">
        <v>24</v>
      </c>
      <c r="AA139" s="3"/>
    </row>
    <row r="140" spans="1:27" s="20" customFormat="1" x14ac:dyDescent="0.25">
      <c r="A140" s="4"/>
      <c r="B140" s="20" t="s">
        <v>3</v>
      </c>
      <c r="C140" s="37" t="s">
        <v>66</v>
      </c>
      <c r="D140" s="20" t="s">
        <v>23</v>
      </c>
      <c r="E140" s="37" t="s">
        <v>18</v>
      </c>
      <c r="F140" s="37"/>
      <c r="H140" s="37"/>
      <c r="I140" s="55"/>
      <c r="J140" s="55"/>
      <c r="K140" s="37"/>
      <c r="L140" s="37"/>
      <c r="M140" s="20" t="s">
        <v>24</v>
      </c>
      <c r="N140" s="45"/>
      <c r="O140" s="37"/>
      <c r="P140" s="37"/>
      <c r="Q140" s="48"/>
      <c r="R140" s="48"/>
      <c r="S140" s="29"/>
      <c r="T140" s="21"/>
      <c r="U140" s="22"/>
      <c r="V140" s="22"/>
      <c r="W140" s="21"/>
      <c r="X140" s="44"/>
      <c r="AA140" s="3"/>
    </row>
    <row r="141" spans="1:27" s="20" customFormat="1" hidden="1" x14ac:dyDescent="0.25">
      <c r="A141" s="4"/>
      <c r="B141" s="20" t="s">
        <v>46</v>
      </c>
      <c r="C141" s="20" t="s">
        <v>66</v>
      </c>
      <c r="D141" s="2" t="s">
        <v>24</v>
      </c>
      <c r="E141" s="37" t="s">
        <v>18</v>
      </c>
      <c r="F141" s="7" t="s">
        <v>33</v>
      </c>
      <c r="G141" s="2" t="s">
        <v>37</v>
      </c>
      <c r="H141" s="7"/>
      <c r="I141" s="31"/>
      <c r="J141" s="31"/>
      <c r="K141" s="7"/>
      <c r="L141" s="7"/>
      <c r="M141" s="2" t="s">
        <v>24</v>
      </c>
      <c r="N141" s="40" t="s">
        <v>24</v>
      </c>
      <c r="O141" s="7" t="s">
        <v>24</v>
      </c>
      <c r="P141" s="7"/>
      <c r="Q141" s="7"/>
      <c r="R141" s="7"/>
      <c r="S141" s="28"/>
      <c r="T141" s="2"/>
      <c r="U141" s="3"/>
      <c r="V141" s="3"/>
      <c r="W141" s="2"/>
      <c r="X141" s="38"/>
      <c r="Y141" s="2" t="s">
        <v>33</v>
      </c>
      <c r="Z141" s="2"/>
      <c r="AA141" s="3"/>
    </row>
    <row r="142" spans="1:27" s="15" customFormat="1" hidden="1" x14ac:dyDescent="0.25">
      <c r="A142" s="4"/>
      <c r="B142" s="20" t="s">
        <v>46</v>
      </c>
      <c r="C142" s="20" t="s">
        <v>66</v>
      </c>
      <c r="D142" s="2" t="s">
        <v>24</v>
      </c>
      <c r="E142" s="37" t="s">
        <v>18</v>
      </c>
      <c r="F142" s="7" t="s">
        <v>34</v>
      </c>
      <c r="G142" s="2" t="s">
        <v>39</v>
      </c>
      <c r="H142" s="7"/>
      <c r="I142" s="31"/>
      <c r="J142" s="31"/>
      <c r="K142" s="7"/>
      <c r="L142" s="7"/>
      <c r="M142" s="2" t="s">
        <v>24</v>
      </c>
      <c r="N142" s="40" t="s">
        <v>24</v>
      </c>
      <c r="O142" s="7" t="s">
        <v>24</v>
      </c>
      <c r="P142" s="7"/>
      <c r="Q142" s="7"/>
      <c r="R142" s="7"/>
      <c r="S142" s="28"/>
      <c r="T142" s="2"/>
      <c r="U142" s="3"/>
      <c r="V142" s="3"/>
      <c r="W142" s="2"/>
      <c r="X142" s="38"/>
      <c r="Y142" s="2" t="s">
        <v>18</v>
      </c>
      <c r="Z142" s="2"/>
      <c r="AA142" s="3"/>
    </row>
    <row r="143" spans="1:27" s="9" customFormat="1" x14ac:dyDescent="0.25">
      <c r="A143" s="4"/>
      <c r="B143" s="20" t="s">
        <v>3</v>
      </c>
      <c r="C143" s="37" t="s">
        <v>6</v>
      </c>
      <c r="D143" s="20" t="s">
        <v>23</v>
      </c>
      <c r="E143" s="37" t="s">
        <v>18</v>
      </c>
      <c r="F143" s="37" t="s">
        <v>34</v>
      </c>
      <c r="G143" s="2"/>
      <c r="H143" s="7"/>
      <c r="I143" s="31"/>
      <c r="J143" s="31"/>
      <c r="K143" s="7"/>
      <c r="L143" s="7"/>
      <c r="M143" s="20" t="s">
        <v>24</v>
      </c>
      <c r="N143" s="45"/>
      <c r="O143" s="7"/>
      <c r="P143" s="37" t="s">
        <v>8</v>
      </c>
      <c r="Q143" s="48">
        <v>0</v>
      </c>
      <c r="R143" s="48">
        <v>0</v>
      </c>
      <c r="S143" s="29">
        <v>0</v>
      </c>
      <c r="T143" s="21"/>
      <c r="U143" s="22">
        <v>0</v>
      </c>
      <c r="V143" s="22">
        <v>0</v>
      </c>
      <c r="W143" s="21"/>
      <c r="X143" s="44">
        <v>0</v>
      </c>
      <c r="Y143" s="20" t="s">
        <v>34</v>
      </c>
      <c r="Z143" s="20" t="s">
        <v>83</v>
      </c>
      <c r="AA143" s="3"/>
    </row>
    <row r="144" spans="1:27" s="20" customFormat="1" hidden="1" x14ac:dyDescent="0.25">
      <c r="A144" s="4"/>
      <c r="B144" s="20" t="s">
        <v>46</v>
      </c>
      <c r="C144" s="20" t="s">
        <v>67</v>
      </c>
      <c r="D144" s="2" t="s">
        <v>78</v>
      </c>
      <c r="E144" s="37" t="s">
        <v>18</v>
      </c>
      <c r="F144" s="37" t="s">
        <v>34</v>
      </c>
      <c r="G144" s="20" t="s">
        <v>78</v>
      </c>
      <c r="H144" s="37"/>
      <c r="I144" s="55"/>
      <c r="J144" s="55"/>
      <c r="K144" s="37"/>
      <c r="L144" s="37"/>
      <c r="M144" s="20" t="s">
        <v>24</v>
      </c>
      <c r="N144" s="40" t="s">
        <v>24</v>
      </c>
      <c r="O144" s="37" t="s">
        <v>24</v>
      </c>
      <c r="P144" s="37" t="s">
        <v>8</v>
      </c>
      <c r="Q144" s="48">
        <v>0</v>
      </c>
      <c r="R144" s="48">
        <v>0</v>
      </c>
      <c r="S144" s="29">
        <v>0</v>
      </c>
      <c r="T144" s="21"/>
      <c r="U144" s="22">
        <v>0</v>
      </c>
      <c r="V144" s="22">
        <v>0</v>
      </c>
      <c r="W144" s="21"/>
      <c r="X144" s="44">
        <v>0</v>
      </c>
      <c r="Y144" s="20" t="s">
        <v>34</v>
      </c>
      <c r="Z144" s="20" t="s">
        <v>24</v>
      </c>
      <c r="AA144" s="3"/>
    </row>
    <row r="145" spans="1:27" s="20" customFormat="1" x14ac:dyDescent="0.25">
      <c r="A145" s="4" t="b">
        <v>1</v>
      </c>
      <c r="B145" s="2" t="s">
        <v>3</v>
      </c>
      <c r="C145" s="2" t="s">
        <v>144</v>
      </c>
      <c r="D145" s="2" t="e">
        <f>static_data_table[[#This Row],[pf_locator]]</f>
        <v>#VALUE!</v>
      </c>
      <c r="E145" s="37" t="s">
        <v>18</v>
      </c>
      <c r="F145" s="7" t="s">
        <v>34</v>
      </c>
      <c r="G145" s="2" t="s">
        <v>77</v>
      </c>
      <c r="H145" s="7" t="s">
        <v>76</v>
      </c>
      <c r="I145" s="31"/>
      <c r="J145" s="31"/>
      <c r="K145" s="7"/>
      <c r="L145" s="7"/>
      <c r="M145" s="4">
        <v>1</v>
      </c>
      <c r="N145" s="23">
        <v>1</v>
      </c>
      <c r="O145" s="7" t="s">
        <v>9</v>
      </c>
      <c r="P145" s="39">
        <v>0</v>
      </c>
      <c r="Q145" s="39">
        <v>0</v>
      </c>
      <c r="R145" s="40">
        <v>0</v>
      </c>
      <c r="S145" s="8">
        <v>0</v>
      </c>
      <c r="T145" s="38">
        <v>0</v>
      </c>
      <c r="U145" s="38">
        <v>0</v>
      </c>
      <c r="V145" s="8">
        <v>0</v>
      </c>
      <c r="W145" s="41">
        <v>0</v>
      </c>
      <c r="X145" s="7" t="s">
        <v>24</v>
      </c>
      <c r="Y145" s="5" t="e">
        <f>#REF!</f>
        <v>#REF!</v>
      </c>
    </row>
    <row r="146" spans="1:27" x14ac:dyDescent="0.25">
      <c r="A146" s="4"/>
      <c r="B146" s="20" t="s">
        <v>3</v>
      </c>
      <c r="C146" s="20" t="s">
        <v>42</v>
      </c>
      <c r="D146" s="20" t="s">
        <v>23</v>
      </c>
      <c r="E146" s="37" t="s">
        <v>18</v>
      </c>
      <c r="F146" s="37"/>
      <c r="G146" s="20"/>
      <c r="H146" s="37"/>
      <c r="I146" s="55"/>
      <c r="J146" s="55"/>
      <c r="K146" s="37"/>
      <c r="L146" s="37"/>
      <c r="M146" s="20" t="s">
        <v>24</v>
      </c>
      <c r="N146" s="45"/>
      <c r="O146" s="37"/>
      <c r="P146" s="37"/>
      <c r="Q146" s="50"/>
      <c r="R146" s="50"/>
      <c r="S146" s="29"/>
      <c r="T146" s="21"/>
      <c r="U146" s="22"/>
      <c r="V146" s="22"/>
      <c r="W146" s="21"/>
      <c r="X146" s="44"/>
      <c r="Y146" s="20"/>
      <c r="Z146" s="20"/>
      <c r="AA146" s="3"/>
    </row>
    <row r="147" spans="1:27" hidden="1" x14ac:dyDescent="0.25">
      <c r="A147" s="4"/>
      <c r="B147" s="2" t="s">
        <v>45</v>
      </c>
      <c r="C147" s="20" t="s">
        <v>42</v>
      </c>
      <c r="D147" s="2" t="s">
        <v>23</v>
      </c>
      <c r="E147" s="37" t="s">
        <v>18</v>
      </c>
      <c r="F147" s="7"/>
      <c r="H147" s="7"/>
      <c r="I147" s="31"/>
      <c r="J147" s="31"/>
      <c r="K147" s="7"/>
      <c r="L147" s="7"/>
      <c r="M147" s="2" t="s">
        <v>24</v>
      </c>
      <c r="N147" s="40"/>
      <c r="O147" s="7"/>
      <c r="P147" s="7"/>
      <c r="Q147" s="39"/>
      <c r="R147" s="39"/>
      <c r="S147" s="28"/>
      <c r="T147" s="5"/>
      <c r="U147" s="3"/>
      <c r="W147" s="5"/>
      <c r="X147" s="38"/>
      <c r="AA147" s="3"/>
    </row>
    <row r="148" spans="1:27" hidden="1" x14ac:dyDescent="0.25">
      <c r="A148" s="4"/>
      <c r="B148" s="2" t="s">
        <v>32</v>
      </c>
      <c r="C148" s="2" t="s">
        <v>42</v>
      </c>
      <c r="D148" s="2" t="s">
        <v>82</v>
      </c>
      <c r="E148" s="37" t="s">
        <v>18</v>
      </c>
      <c r="F148" s="7" t="s">
        <v>33</v>
      </c>
      <c r="G148" s="2" t="s">
        <v>37</v>
      </c>
      <c r="H148" s="38" t="s">
        <v>24</v>
      </c>
      <c r="I148" s="31"/>
      <c r="J148" s="31"/>
      <c r="K148" s="38"/>
      <c r="L148" s="38"/>
      <c r="M148" s="3" t="s">
        <v>24</v>
      </c>
      <c r="N148" s="40" t="s">
        <v>24</v>
      </c>
      <c r="O148" s="38" t="s">
        <v>24</v>
      </c>
      <c r="P148" s="7"/>
      <c r="Q148" s="30"/>
      <c r="R148" s="30"/>
      <c r="S148" s="31"/>
      <c r="T148" s="8"/>
      <c r="U148" s="3">
        <v>0</v>
      </c>
      <c r="V148" s="3">
        <v>0</v>
      </c>
      <c r="W148" s="5">
        <v>46053</v>
      </c>
      <c r="X148" s="38" t="s">
        <v>24</v>
      </c>
      <c r="Y148" s="2" t="s">
        <v>24</v>
      </c>
      <c r="Z148" s="2" t="s">
        <v>24</v>
      </c>
      <c r="AA148" s="3"/>
    </row>
    <row r="149" spans="1:27" hidden="1" x14ac:dyDescent="0.25">
      <c r="A149" s="4"/>
      <c r="B149" s="20" t="s">
        <v>46</v>
      </c>
      <c r="C149" s="20" t="s">
        <v>68</v>
      </c>
      <c r="D149" s="2" t="s">
        <v>24</v>
      </c>
      <c r="E149" s="37" t="s">
        <v>18</v>
      </c>
      <c r="F149" s="7" t="s">
        <v>33</v>
      </c>
      <c r="G149" s="2" t="s">
        <v>48</v>
      </c>
      <c r="H149" s="7"/>
      <c r="I149" s="31"/>
      <c r="J149" s="31"/>
      <c r="K149" s="7"/>
      <c r="L149" s="7"/>
      <c r="M149" s="2" t="s">
        <v>24</v>
      </c>
      <c r="N149" s="40" t="s">
        <v>24</v>
      </c>
      <c r="O149" s="7" t="s">
        <v>24</v>
      </c>
      <c r="P149" s="7"/>
      <c r="Q149" s="39"/>
      <c r="R149" s="39"/>
      <c r="S149" s="28"/>
      <c r="T149" s="5"/>
      <c r="U149" s="3"/>
      <c r="W149" s="5"/>
      <c r="X149" s="38"/>
      <c r="Y149" s="2" t="s">
        <v>33</v>
      </c>
      <c r="AA149" s="3"/>
    </row>
    <row r="150" spans="1:27" s="20" customFormat="1" x14ac:dyDescent="0.25">
      <c r="A150" s="4"/>
      <c r="B150" s="20" t="s">
        <v>3</v>
      </c>
      <c r="C150" s="37" t="s">
        <v>22</v>
      </c>
      <c r="D150" s="20" t="s">
        <v>23</v>
      </c>
      <c r="E150" s="37" t="s">
        <v>18</v>
      </c>
      <c r="F150" s="37"/>
      <c r="H150" s="37"/>
      <c r="I150" s="55"/>
      <c r="J150" s="55"/>
      <c r="K150" s="37"/>
      <c r="L150" s="37"/>
      <c r="M150" s="20" t="s">
        <v>24</v>
      </c>
      <c r="N150" s="45"/>
      <c r="O150" s="37"/>
      <c r="P150" s="37"/>
      <c r="Q150" s="50"/>
      <c r="R150" s="50"/>
      <c r="S150" s="29"/>
      <c r="T150" s="21"/>
      <c r="U150" s="22"/>
      <c r="V150" s="22"/>
      <c r="W150" s="21"/>
      <c r="X150" s="44"/>
      <c r="AA150" s="3"/>
    </row>
    <row r="151" spans="1:27" s="20" customFormat="1" hidden="1" x14ac:dyDescent="0.25">
      <c r="A151" s="4"/>
      <c r="B151" s="2" t="s">
        <v>45</v>
      </c>
      <c r="C151" s="20" t="s">
        <v>22</v>
      </c>
      <c r="D151" s="2" t="s">
        <v>23</v>
      </c>
      <c r="E151" s="37" t="s">
        <v>18</v>
      </c>
      <c r="F151" s="7"/>
      <c r="G151" s="2"/>
      <c r="H151" s="7"/>
      <c r="I151" s="31"/>
      <c r="J151" s="31"/>
      <c r="K151" s="7"/>
      <c r="L151" s="7"/>
      <c r="M151" s="2" t="s">
        <v>24</v>
      </c>
      <c r="N151" s="40"/>
      <c r="O151" s="7"/>
      <c r="P151" s="7"/>
      <c r="Q151" s="39"/>
      <c r="R151" s="39"/>
      <c r="S151" s="28"/>
      <c r="T151" s="5"/>
      <c r="U151" s="3"/>
      <c r="V151" s="3"/>
      <c r="W151" s="5"/>
      <c r="X151" s="38"/>
      <c r="Y151" s="2"/>
      <c r="Z151" s="2"/>
      <c r="AA151" s="3"/>
    </row>
    <row r="152" spans="1:27" s="20" customFormat="1" hidden="1" x14ac:dyDescent="0.25">
      <c r="A152" s="4"/>
      <c r="B152" s="20" t="s">
        <v>46</v>
      </c>
      <c r="C152" s="20" t="s">
        <v>22</v>
      </c>
      <c r="D152" s="2" t="s">
        <v>24</v>
      </c>
      <c r="E152" s="37" t="s">
        <v>18</v>
      </c>
      <c r="F152" s="7" t="s">
        <v>34</v>
      </c>
      <c r="G152" s="2" t="s">
        <v>57</v>
      </c>
      <c r="H152" s="7"/>
      <c r="I152" s="31"/>
      <c r="J152" s="31"/>
      <c r="K152" s="7"/>
      <c r="L152" s="7"/>
      <c r="M152" s="2" t="s">
        <v>24</v>
      </c>
      <c r="N152" s="40" t="s">
        <v>24</v>
      </c>
      <c r="O152" s="7" t="s">
        <v>24</v>
      </c>
      <c r="P152" s="7"/>
      <c r="Q152" s="7"/>
      <c r="R152" s="7"/>
      <c r="S152" s="28"/>
      <c r="T152" s="2"/>
      <c r="U152" s="3"/>
      <c r="V152" s="3"/>
      <c r="W152" s="2"/>
      <c r="X152" s="38"/>
      <c r="Y152" s="2" t="s">
        <v>18</v>
      </c>
      <c r="Z152" s="2"/>
      <c r="AA152" s="3"/>
    </row>
    <row r="153" spans="1:27" s="20" customFormat="1" x14ac:dyDescent="0.25">
      <c r="A153" s="4"/>
      <c r="B153" s="20" t="s">
        <v>3</v>
      </c>
      <c r="C153" s="20" t="s">
        <v>29</v>
      </c>
      <c r="D153" s="20" t="s">
        <v>23</v>
      </c>
      <c r="E153" s="37" t="s">
        <v>18</v>
      </c>
      <c r="F153" s="37"/>
      <c r="H153" s="37"/>
      <c r="I153" s="55"/>
      <c r="J153" s="55"/>
      <c r="K153" s="37"/>
      <c r="L153" s="37"/>
      <c r="M153" s="20" t="s">
        <v>24</v>
      </c>
      <c r="N153" s="45"/>
      <c r="O153" s="37"/>
      <c r="P153" s="37"/>
      <c r="Q153" s="37"/>
      <c r="R153" s="37"/>
      <c r="S153" s="29"/>
      <c r="U153" s="22"/>
      <c r="V153" s="22"/>
      <c r="X153" s="44"/>
      <c r="AA153" s="3"/>
    </row>
    <row r="154" spans="1:27" s="20" customFormat="1" hidden="1" x14ac:dyDescent="0.25">
      <c r="A154" s="4"/>
      <c r="B154" s="2" t="s">
        <v>45</v>
      </c>
      <c r="C154" s="20" t="s">
        <v>29</v>
      </c>
      <c r="D154" s="2" t="s">
        <v>23</v>
      </c>
      <c r="E154" s="37" t="s">
        <v>18</v>
      </c>
      <c r="F154" s="7"/>
      <c r="G154" s="2"/>
      <c r="H154" s="7"/>
      <c r="I154" s="31"/>
      <c r="J154" s="31"/>
      <c r="K154" s="7"/>
      <c r="L154" s="7"/>
      <c r="M154" s="2" t="s">
        <v>24</v>
      </c>
      <c r="N154" s="40"/>
      <c r="O154" s="7"/>
      <c r="P154" s="7"/>
      <c r="Q154" s="30"/>
      <c r="R154" s="30"/>
      <c r="S154" s="28"/>
      <c r="T154" s="5"/>
      <c r="U154" s="3"/>
      <c r="V154" s="3"/>
      <c r="W154" s="5"/>
      <c r="X154" s="38"/>
      <c r="Y154" s="2"/>
      <c r="Z154" s="2"/>
      <c r="AA154" s="3"/>
    </row>
    <row r="155" spans="1:27" hidden="1" x14ac:dyDescent="0.25">
      <c r="A155" s="4"/>
      <c r="B155" s="20" t="s">
        <v>46</v>
      </c>
      <c r="C155" s="20" t="s">
        <v>69</v>
      </c>
      <c r="D155" s="2" t="s">
        <v>24</v>
      </c>
      <c r="E155" s="37" t="s">
        <v>18</v>
      </c>
      <c r="F155" s="7" t="s">
        <v>34</v>
      </c>
      <c r="G155" s="2" t="s">
        <v>58</v>
      </c>
      <c r="H155" s="7"/>
      <c r="I155" s="31"/>
      <c r="J155" s="31"/>
      <c r="K155" s="7"/>
      <c r="L155" s="7"/>
      <c r="M155" s="2" t="s">
        <v>24</v>
      </c>
      <c r="N155" s="40" t="s">
        <v>24</v>
      </c>
      <c r="O155" s="7" t="s">
        <v>24</v>
      </c>
      <c r="P155" s="7"/>
      <c r="Q155" s="30"/>
      <c r="R155" s="30"/>
      <c r="S155" s="28"/>
      <c r="T155" s="5"/>
      <c r="U155" s="3"/>
      <c r="W155" s="5"/>
      <c r="X155" s="38"/>
      <c r="Y155" s="2" t="s">
        <v>18</v>
      </c>
      <c r="AA155" s="3"/>
    </row>
    <row r="156" spans="1:27" hidden="1" x14ac:dyDescent="0.25">
      <c r="A156" s="4"/>
      <c r="B156" s="2" t="s">
        <v>45</v>
      </c>
      <c r="C156" s="2" t="s">
        <v>5</v>
      </c>
      <c r="D156" s="2" t="s">
        <v>23</v>
      </c>
      <c r="E156" s="37" t="s">
        <v>18</v>
      </c>
      <c r="F156" s="7" t="s">
        <v>34</v>
      </c>
      <c r="G156" s="2" t="s">
        <v>12</v>
      </c>
      <c r="H156" s="7"/>
      <c r="I156" s="31"/>
      <c r="J156" s="31"/>
      <c r="K156" s="7"/>
      <c r="L156" s="7"/>
      <c r="M156" s="2" t="s">
        <v>23</v>
      </c>
      <c r="N156" s="23"/>
      <c r="O156" s="7"/>
      <c r="P156" s="7"/>
      <c r="Q156" s="7"/>
      <c r="R156" s="7"/>
      <c r="S156" s="28"/>
      <c r="T156" s="2"/>
      <c r="U156" s="3"/>
      <c r="W156" s="2"/>
      <c r="X156" s="38"/>
      <c r="AA156" s="3"/>
    </row>
    <row r="157" spans="1:27" hidden="1" x14ac:dyDescent="0.25">
      <c r="A157" s="4"/>
      <c r="B157" s="2" t="s">
        <v>45</v>
      </c>
      <c r="C157" s="2" t="s">
        <v>5</v>
      </c>
      <c r="D157" s="2" t="s">
        <v>23</v>
      </c>
      <c r="E157" s="37" t="s">
        <v>18</v>
      </c>
      <c r="F157" s="7" t="s">
        <v>34</v>
      </c>
      <c r="G157" s="2" t="s">
        <v>13</v>
      </c>
      <c r="H157" s="7"/>
      <c r="I157" s="31"/>
      <c r="J157" s="31"/>
      <c r="K157" s="7"/>
      <c r="L157" s="7"/>
      <c r="M157" s="2" t="s">
        <v>23</v>
      </c>
      <c r="N157" s="23"/>
      <c r="O157" s="7"/>
      <c r="P157" s="7"/>
      <c r="Q157" s="7"/>
      <c r="R157" s="7"/>
      <c r="S157" s="28"/>
      <c r="T157" s="2"/>
      <c r="U157" s="3"/>
      <c r="W157" s="2"/>
      <c r="X157" s="38"/>
      <c r="AA157" s="3"/>
    </row>
    <row r="158" spans="1:27" hidden="1" x14ac:dyDescent="0.25">
      <c r="A158" s="11" t="s">
        <v>87</v>
      </c>
      <c r="B158" s="9" t="s">
        <v>45</v>
      </c>
      <c r="C158" s="9" t="s">
        <v>5</v>
      </c>
      <c r="D158" s="9" t="s">
        <v>23</v>
      </c>
      <c r="E158" s="43" t="s">
        <v>18</v>
      </c>
      <c r="F158" s="43" t="s">
        <v>34</v>
      </c>
      <c r="G158" s="9" t="s">
        <v>14</v>
      </c>
      <c r="H158" s="43" t="s">
        <v>24</v>
      </c>
      <c r="I158" s="57"/>
      <c r="J158" s="57"/>
      <c r="K158" s="43"/>
      <c r="L158" s="43"/>
      <c r="M158" s="9" t="s">
        <v>24</v>
      </c>
      <c r="N158" s="43" t="s">
        <v>24</v>
      </c>
      <c r="O158" s="43" t="s">
        <v>24</v>
      </c>
      <c r="P158" s="43" t="s">
        <v>24</v>
      </c>
      <c r="Q158" s="49" t="s">
        <v>24</v>
      </c>
      <c r="R158" s="49" t="s">
        <v>24</v>
      </c>
      <c r="S158" s="32" t="s">
        <v>24</v>
      </c>
      <c r="T158" s="12" t="s">
        <v>24</v>
      </c>
      <c r="U158" s="10" t="s">
        <v>24</v>
      </c>
      <c r="V158" s="10" t="s">
        <v>24</v>
      </c>
      <c r="W158" s="12" t="s">
        <v>24</v>
      </c>
      <c r="X158" s="53" t="s">
        <v>24</v>
      </c>
      <c r="Y158" s="10" t="s">
        <v>24</v>
      </c>
      <c r="Z158" s="10" t="s">
        <v>24</v>
      </c>
      <c r="AA158" s="3"/>
    </row>
    <row r="159" spans="1:27" hidden="1" x14ac:dyDescent="0.25">
      <c r="A159" s="4"/>
      <c r="B159" s="2" t="s">
        <v>45</v>
      </c>
      <c r="C159" s="2" t="s">
        <v>5</v>
      </c>
      <c r="D159" s="2" t="s">
        <v>23</v>
      </c>
      <c r="E159" s="37" t="s">
        <v>18</v>
      </c>
      <c r="F159" s="7" t="s">
        <v>34</v>
      </c>
      <c r="G159" s="2" t="s">
        <v>18</v>
      </c>
      <c r="H159" s="7"/>
      <c r="I159" s="31"/>
      <c r="J159" s="31"/>
      <c r="K159" s="7"/>
      <c r="L159" s="7"/>
      <c r="M159" s="2" t="s">
        <v>23</v>
      </c>
      <c r="N159" s="23"/>
      <c r="O159" s="7"/>
      <c r="P159" s="7"/>
      <c r="Q159" s="7"/>
      <c r="R159" s="7"/>
      <c r="S159" s="28"/>
      <c r="T159" s="2"/>
      <c r="U159" s="3"/>
      <c r="W159" s="2"/>
      <c r="X159" s="38"/>
      <c r="AA159" s="3"/>
    </row>
    <row r="160" spans="1:27" hidden="1" x14ac:dyDescent="0.25">
      <c r="A160" s="4"/>
      <c r="B160" s="2" t="s">
        <v>45</v>
      </c>
      <c r="C160" s="2" t="s">
        <v>5</v>
      </c>
      <c r="D160" s="2" t="s">
        <v>23</v>
      </c>
      <c r="E160" s="37" t="s">
        <v>18</v>
      </c>
      <c r="F160" s="7" t="s">
        <v>34</v>
      </c>
      <c r="G160" s="2" t="s">
        <v>15</v>
      </c>
      <c r="H160" s="7"/>
      <c r="I160" s="31"/>
      <c r="J160" s="31"/>
      <c r="K160" s="7"/>
      <c r="L160" s="7"/>
      <c r="M160" s="2" t="s">
        <v>23</v>
      </c>
      <c r="N160" s="23"/>
      <c r="O160" s="7"/>
      <c r="P160" s="7"/>
      <c r="Q160" s="7"/>
      <c r="R160" s="7"/>
      <c r="S160" s="28"/>
      <c r="T160" s="2"/>
      <c r="U160" s="3"/>
      <c r="W160" s="2"/>
      <c r="X160" s="38"/>
      <c r="AA160" s="3"/>
    </row>
    <row r="161" spans="1:27" s="20" customFormat="1" hidden="1" x14ac:dyDescent="0.25">
      <c r="A161" s="4"/>
      <c r="B161" s="2" t="s">
        <v>45</v>
      </c>
      <c r="C161" s="2" t="s">
        <v>5</v>
      </c>
      <c r="D161" s="2" t="s">
        <v>23</v>
      </c>
      <c r="E161" s="37" t="s">
        <v>18</v>
      </c>
      <c r="F161" s="7" t="s">
        <v>34</v>
      </c>
      <c r="G161" s="2" t="s">
        <v>16</v>
      </c>
      <c r="H161" s="7"/>
      <c r="I161" s="31"/>
      <c r="J161" s="31"/>
      <c r="K161" s="7"/>
      <c r="L161" s="7"/>
      <c r="M161" s="2" t="s">
        <v>23</v>
      </c>
      <c r="N161" s="23"/>
      <c r="O161" s="7"/>
      <c r="P161" s="7"/>
      <c r="Q161" s="7"/>
      <c r="R161" s="7"/>
      <c r="S161" s="28"/>
      <c r="T161" s="2"/>
      <c r="U161" s="3"/>
      <c r="V161" s="3"/>
      <c r="W161" s="2"/>
      <c r="X161" s="38"/>
      <c r="Y161" s="2"/>
      <c r="Z161" s="2"/>
      <c r="AA161" s="3"/>
    </row>
    <row r="162" spans="1:27" hidden="1" x14ac:dyDescent="0.25">
      <c r="A162" s="4"/>
      <c r="B162" s="2" t="s">
        <v>45</v>
      </c>
      <c r="C162" s="2" t="s">
        <v>5</v>
      </c>
      <c r="D162" s="2" t="s">
        <v>23</v>
      </c>
      <c r="E162" s="37" t="s">
        <v>18</v>
      </c>
      <c r="F162" s="7" t="s">
        <v>34</v>
      </c>
      <c r="G162" s="2" t="s">
        <v>21</v>
      </c>
      <c r="H162" s="7"/>
      <c r="I162" s="31"/>
      <c r="J162" s="31"/>
      <c r="K162" s="7"/>
      <c r="L162" s="7"/>
      <c r="M162" s="2" t="s">
        <v>23</v>
      </c>
      <c r="N162" s="23"/>
      <c r="O162" s="7"/>
      <c r="P162" s="7"/>
      <c r="Q162" s="39"/>
      <c r="R162" s="39"/>
      <c r="S162" s="28"/>
      <c r="T162" s="5"/>
      <c r="U162" s="3"/>
      <c r="W162" s="5"/>
      <c r="X162" s="38"/>
      <c r="AA162" s="3"/>
    </row>
    <row r="163" spans="1:27" hidden="1" x14ac:dyDescent="0.25">
      <c r="A163" s="4"/>
      <c r="B163" s="2" t="s">
        <v>45</v>
      </c>
      <c r="C163" s="2" t="s">
        <v>5</v>
      </c>
      <c r="D163" s="2" t="s">
        <v>23</v>
      </c>
      <c r="E163" s="37" t="s">
        <v>18</v>
      </c>
      <c r="F163" s="7" t="s">
        <v>34</v>
      </c>
      <c r="G163" s="2" t="s">
        <v>17</v>
      </c>
      <c r="H163" s="7"/>
      <c r="I163" s="31"/>
      <c r="J163" s="31"/>
      <c r="K163" s="7"/>
      <c r="L163" s="7"/>
      <c r="M163" s="2" t="s">
        <v>23</v>
      </c>
      <c r="N163" s="23"/>
      <c r="O163" s="7"/>
      <c r="P163" s="7"/>
      <c r="Q163" s="7"/>
      <c r="R163" s="7"/>
      <c r="S163" s="28"/>
      <c r="T163" s="2"/>
      <c r="U163" s="3"/>
      <c r="W163" s="2"/>
      <c r="X163" s="38"/>
      <c r="AA163" s="3"/>
    </row>
    <row r="164" spans="1:27" s="20" customFormat="1" hidden="1" x14ac:dyDescent="0.25">
      <c r="A164" s="4"/>
      <c r="B164" s="2" t="s">
        <v>45</v>
      </c>
      <c r="C164" s="2" t="s">
        <v>5</v>
      </c>
      <c r="D164" s="2" t="s">
        <v>23</v>
      </c>
      <c r="E164" s="37" t="s">
        <v>18</v>
      </c>
      <c r="F164" s="7" t="s">
        <v>34</v>
      </c>
      <c r="G164" s="2" t="s">
        <v>43</v>
      </c>
      <c r="H164" s="7"/>
      <c r="I164" s="31"/>
      <c r="J164" s="31"/>
      <c r="K164" s="7"/>
      <c r="L164" s="7"/>
      <c r="M164" s="2" t="s">
        <v>23</v>
      </c>
      <c r="N164" s="23"/>
      <c r="O164" s="7"/>
      <c r="P164" s="7"/>
      <c r="Q164" s="7"/>
      <c r="R164" s="7"/>
      <c r="S164" s="28"/>
      <c r="T164" s="2"/>
      <c r="U164" s="3"/>
      <c r="V164" s="3"/>
      <c r="W164" s="2"/>
      <c r="X164" s="38"/>
      <c r="Y164" s="2"/>
      <c r="Z164" s="2"/>
      <c r="AA164" s="3"/>
    </row>
    <row r="165" spans="1:27" hidden="1" x14ac:dyDescent="0.25">
      <c r="A165" s="4"/>
      <c r="B165" s="2" t="s">
        <v>45</v>
      </c>
      <c r="C165" s="2" t="s">
        <v>5</v>
      </c>
      <c r="D165" s="2" t="s">
        <v>23</v>
      </c>
      <c r="E165" s="37" t="s">
        <v>18</v>
      </c>
      <c r="F165" s="7" t="s">
        <v>34</v>
      </c>
      <c r="G165" s="2" t="s">
        <v>4</v>
      </c>
      <c r="H165" s="7"/>
      <c r="I165" s="31"/>
      <c r="J165" s="31"/>
      <c r="K165" s="7"/>
      <c r="L165" s="7"/>
      <c r="M165" s="2" t="s">
        <v>23</v>
      </c>
      <c r="N165" s="23"/>
      <c r="O165" s="7"/>
      <c r="P165" s="7"/>
      <c r="Q165" s="7"/>
      <c r="R165" s="7"/>
      <c r="S165" s="28"/>
      <c r="T165" s="2"/>
      <c r="U165" s="3"/>
      <c r="W165" s="2"/>
      <c r="X165" s="38"/>
      <c r="AA165" s="3"/>
    </row>
    <row r="166" spans="1:27" x14ac:dyDescent="0.25">
      <c r="A166" s="4"/>
      <c r="B166" s="20" t="s">
        <v>3</v>
      </c>
      <c r="C166" s="20" t="s">
        <v>7</v>
      </c>
      <c r="D166" s="20" t="s">
        <v>23</v>
      </c>
      <c r="E166" s="37" t="s">
        <v>18</v>
      </c>
      <c r="F166" s="37"/>
      <c r="G166" s="20"/>
      <c r="H166" s="37"/>
      <c r="I166" s="55"/>
      <c r="J166" s="55"/>
      <c r="K166" s="37"/>
      <c r="L166" s="37"/>
      <c r="M166" s="20" t="s">
        <v>24</v>
      </c>
      <c r="N166" s="45"/>
      <c r="O166" s="37"/>
      <c r="P166" s="37"/>
      <c r="Q166" s="50"/>
      <c r="R166" s="50"/>
      <c r="S166" s="29"/>
      <c r="T166" s="21"/>
      <c r="U166" s="22"/>
      <c r="V166" s="22"/>
      <c r="W166" s="21"/>
      <c r="X166" s="44"/>
      <c r="Y166" s="20"/>
      <c r="Z166" s="20"/>
      <c r="AA166" s="3"/>
    </row>
    <row r="167" spans="1:27" hidden="1" x14ac:dyDescent="0.25">
      <c r="A167" s="4"/>
      <c r="B167" s="2" t="s">
        <v>45</v>
      </c>
      <c r="C167" s="20" t="s">
        <v>7</v>
      </c>
      <c r="D167" s="2" t="s">
        <v>23</v>
      </c>
      <c r="E167" s="37" t="s">
        <v>18</v>
      </c>
      <c r="F167" s="7"/>
      <c r="H167" s="7"/>
      <c r="I167" s="31"/>
      <c r="J167" s="31"/>
      <c r="K167" s="7"/>
      <c r="L167" s="7"/>
      <c r="M167" s="2" t="s">
        <v>24</v>
      </c>
      <c r="N167" s="40"/>
      <c r="O167" s="7"/>
      <c r="P167" s="7"/>
      <c r="Q167" s="30"/>
      <c r="R167" s="30"/>
      <c r="S167" s="28"/>
      <c r="T167" s="5"/>
      <c r="U167" s="3"/>
      <c r="W167" s="5"/>
      <c r="X167" s="38"/>
      <c r="AA167" s="3"/>
    </row>
    <row r="168" spans="1:27" s="20" customFormat="1" hidden="1" x14ac:dyDescent="0.25">
      <c r="A168" s="4" t="s">
        <v>94</v>
      </c>
      <c r="B168" s="20" t="s">
        <v>46</v>
      </c>
      <c r="C168" s="20" t="s">
        <v>70</v>
      </c>
      <c r="D168" s="2" t="s">
        <v>24</v>
      </c>
      <c r="E168" s="37" t="s">
        <v>18</v>
      </c>
      <c r="F168" s="7" t="s">
        <v>34</v>
      </c>
      <c r="G168" s="2" t="s">
        <v>61</v>
      </c>
      <c r="H168" s="7"/>
      <c r="I168" s="31"/>
      <c r="J168" s="31"/>
      <c r="K168" s="7"/>
      <c r="L168" s="7"/>
      <c r="M168" s="2" t="s">
        <v>24</v>
      </c>
      <c r="N168" s="40" t="s">
        <v>24</v>
      </c>
      <c r="O168" s="7" t="s">
        <v>24</v>
      </c>
      <c r="P168" s="7"/>
      <c r="Q168" s="7"/>
      <c r="R168" s="7"/>
      <c r="S168" s="28"/>
      <c r="T168" s="2"/>
      <c r="U168" s="3"/>
      <c r="V168" s="3"/>
      <c r="W168" s="2"/>
      <c r="X168" s="38"/>
      <c r="Y168" s="2" t="s">
        <v>59</v>
      </c>
      <c r="Z168" s="2"/>
      <c r="AA168" s="3"/>
    </row>
    <row r="169" spans="1:27" hidden="1" x14ac:dyDescent="0.25">
      <c r="A169" s="4"/>
      <c r="B169" s="2" t="s">
        <v>45</v>
      </c>
      <c r="C169" s="20" t="s">
        <v>31</v>
      </c>
      <c r="D169" s="2" t="s">
        <v>23</v>
      </c>
      <c r="E169" s="37" t="s">
        <v>18</v>
      </c>
      <c r="F169" s="7"/>
      <c r="H169" s="7"/>
      <c r="I169" s="31"/>
      <c r="J169" s="31"/>
      <c r="K169" s="7"/>
      <c r="L169" s="7"/>
      <c r="M169" s="2" t="s">
        <v>24</v>
      </c>
      <c r="N169" s="40"/>
      <c r="O169" s="7"/>
      <c r="P169" s="7"/>
      <c r="Q169" s="30"/>
      <c r="R169" s="30"/>
      <c r="S169" s="28"/>
      <c r="T169" s="5"/>
      <c r="U169" s="3"/>
      <c r="W169" s="5"/>
      <c r="X169" s="38"/>
      <c r="AA169" s="3"/>
    </row>
    <row r="170" spans="1:27" x14ac:dyDescent="0.25">
      <c r="A170" s="4"/>
      <c r="B170" s="20" t="s">
        <v>3</v>
      </c>
      <c r="C170" s="20" t="s">
        <v>71</v>
      </c>
      <c r="D170" s="20" t="s">
        <v>90</v>
      </c>
      <c r="E170" s="37" t="s">
        <v>18</v>
      </c>
      <c r="F170" s="37"/>
      <c r="G170" s="20" t="s">
        <v>90</v>
      </c>
      <c r="H170" s="37"/>
      <c r="I170" s="55"/>
      <c r="J170" s="55"/>
      <c r="K170" s="37"/>
      <c r="L170" s="37"/>
      <c r="M170" s="22" t="s">
        <v>24</v>
      </c>
      <c r="N170" s="45" t="s">
        <v>24</v>
      </c>
      <c r="O170" s="37" t="s">
        <v>24</v>
      </c>
      <c r="P170" s="37">
        <v>0</v>
      </c>
      <c r="Q170" s="48">
        <v>0</v>
      </c>
      <c r="R170" s="48">
        <v>0</v>
      </c>
      <c r="S170" s="29">
        <v>0</v>
      </c>
      <c r="T170" s="21"/>
      <c r="U170" s="22">
        <v>0</v>
      </c>
      <c r="V170" s="22">
        <v>0</v>
      </c>
      <c r="W170" s="21"/>
      <c r="X170" s="44"/>
      <c r="Y170" s="20"/>
      <c r="Z170" s="20"/>
      <c r="AA170" s="3"/>
    </row>
    <row r="171" spans="1:27" hidden="1" x14ac:dyDescent="0.25">
      <c r="A171" s="4"/>
      <c r="B171" s="20" t="s">
        <v>46</v>
      </c>
      <c r="C171" s="20" t="s">
        <v>71</v>
      </c>
      <c r="E171" s="37" t="s">
        <v>18</v>
      </c>
      <c r="F171" s="37" t="s">
        <v>75</v>
      </c>
      <c r="G171" s="2" t="s">
        <v>93</v>
      </c>
      <c r="H171" s="37"/>
      <c r="I171" s="55"/>
      <c r="J171" s="55"/>
      <c r="K171" s="37"/>
      <c r="L171" s="37"/>
      <c r="M171" s="2" t="s">
        <v>24</v>
      </c>
      <c r="N171" s="40" t="s">
        <v>24</v>
      </c>
      <c r="O171" s="37" t="s">
        <v>24</v>
      </c>
      <c r="P171" s="7">
        <v>0</v>
      </c>
      <c r="Q171" s="30">
        <v>0</v>
      </c>
      <c r="R171" s="30">
        <v>0</v>
      </c>
      <c r="S171" s="28">
        <v>-2</v>
      </c>
      <c r="T171" s="21"/>
      <c r="U171" s="22"/>
      <c r="V171" s="22"/>
      <c r="W171" s="21"/>
      <c r="X171" s="44"/>
      <c r="Y171" s="20" t="s">
        <v>75</v>
      </c>
      <c r="Z171" s="20"/>
      <c r="AA171" s="3"/>
    </row>
    <row r="172" spans="1:27" hidden="1" x14ac:dyDescent="0.25">
      <c r="A172" s="4" t="s">
        <v>95</v>
      </c>
      <c r="B172" s="20" t="s">
        <v>46</v>
      </c>
      <c r="C172" s="20" t="s">
        <v>71</v>
      </c>
      <c r="E172" s="37" t="s">
        <v>18</v>
      </c>
      <c r="F172" s="37"/>
      <c r="G172" s="2" t="s">
        <v>92</v>
      </c>
      <c r="H172" s="37"/>
      <c r="I172" s="55"/>
      <c r="J172" s="55"/>
      <c r="K172" s="37"/>
      <c r="L172" s="37"/>
      <c r="M172" s="2" t="s">
        <v>24</v>
      </c>
      <c r="N172" s="40" t="s">
        <v>24</v>
      </c>
      <c r="O172" s="37" t="s">
        <v>24</v>
      </c>
      <c r="P172" s="7">
        <v>0</v>
      </c>
      <c r="Q172" s="30">
        <v>0</v>
      </c>
      <c r="R172" s="30">
        <v>0</v>
      </c>
      <c r="S172" s="28">
        <v>-1</v>
      </c>
      <c r="T172" s="21"/>
      <c r="U172" s="22"/>
      <c r="V172" s="22"/>
      <c r="W172" s="21"/>
      <c r="X172" s="44"/>
      <c r="Y172" s="20"/>
      <c r="Z172" s="20"/>
      <c r="AA172" s="3"/>
    </row>
    <row r="173" spans="1:27" hidden="1" x14ac:dyDescent="0.25">
      <c r="A173" s="4"/>
      <c r="B173" s="20" t="s">
        <v>46</v>
      </c>
      <c r="C173" s="20" t="s">
        <v>71</v>
      </c>
      <c r="D173" s="2" t="s">
        <v>60</v>
      </c>
      <c r="E173" s="37" t="s">
        <v>18</v>
      </c>
      <c r="F173" s="7" t="s">
        <v>33</v>
      </c>
      <c r="G173" s="2" t="s">
        <v>91</v>
      </c>
      <c r="H173" s="7"/>
      <c r="I173" s="31"/>
      <c r="J173" s="31"/>
      <c r="K173" s="7"/>
      <c r="L173" s="7"/>
      <c r="M173" s="2" t="s">
        <v>24</v>
      </c>
      <c r="N173" s="40" t="s">
        <v>24</v>
      </c>
      <c r="O173" s="7" t="s">
        <v>24</v>
      </c>
      <c r="P173" s="7">
        <v>0</v>
      </c>
      <c r="Q173" s="30">
        <v>0</v>
      </c>
      <c r="R173" s="30">
        <v>0</v>
      </c>
      <c r="S173" s="28">
        <v>0</v>
      </c>
      <c r="T173" s="5"/>
      <c r="U173" s="3">
        <v>0</v>
      </c>
      <c r="V173" s="3">
        <v>0</v>
      </c>
      <c r="W173" s="5"/>
      <c r="X173" s="38"/>
      <c r="Y173" s="2" t="s">
        <v>33</v>
      </c>
      <c r="AA173" s="3"/>
    </row>
    <row r="174" spans="1:27" x14ac:dyDescent="0.25">
      <c r="A174" s="4"/>
      <c r="B174" s="20" t="s">
        <v>3</v>
      </c>
      <c r="C174" s="20" t="s">
        <v>28</v>
      </c>
      <c r="D174" s="20" t="s">
        <v>89</v>
      </c>
      <c r="E174" s="37" t="s">
        <v>18</v>
      </c>
      <c r="F174" s="37" t="s">
        <v>33</v>
      </c>
      <c r="G174" s="20" t="s">
        <v>88</v>
      </c>
      <c r="H174" s="37" t="s">
        <v>85</v>
      </c>
      <c r="I174" s="55"/>
      <c r="J174" s="55"/>
      <c r="K174" s="37"/>
      <c r="L174" s="37"/>
      <c r="M174" s="20" t="s">
        <v>24</v>
      </c>
      <c r="N174" s="45" t="s">
        <v>24</v>
      </c>
      <c r="O174" s="37" t="s">
        <v>24</v>
      </c>
      <c r="P174" s="7" t="s">
        <v>8</v>
      </c>
      <c r="Q174" s="7">
        <v>0</v>
      </c>
      <c r="R174" s="7">
        <v>0</v>
      </c>
      <c r="S174" s="28">
        <v>0</v>
      </c>
      <c r="T174" s="20"/>
      <c r="U174" s="22">
        <v>0</v>
      </c>
      <c r="V174" s="22">
        <v>0</v>
      </c>
      <c r="W174" s="20"/>
      <c r="X174" s="44">
        <v>0</v>
      </c>
      <c r="Y174" s="20"/>
      <c r="Z174" s="20"/>
      <c r="AA174" s="3"/>
    </row>
    <row r="175" spans="1:27" hidden="1" x14ac:dyDescent="0.25">
      <c r="A175" s="4"/>
      <c r="B175" s="2" t="s">
        <v>45</v>
      </c>
      <c r="C175" s="20" t="s">
        <v>28</v>
      </c>
      <c r="D175" s="2" t="s">
        <v>23</v>
      </c>
      <c r="E175" s="37" t="s">
        <v>18</v>
      </c>
      <c r="F175" s="43"/>
      <c r="G175" s="9"/>
      <c r="H175" s="43"/>
      <c r="I175" s="57"/>
      <c r="J175" s="57"/>
      <c r="K175" s="43"/>
      <c r="L175" s="43"/>
      <c r="M175" s="2" t="s">
        <v>24</v>
      </c>
      <c r="N175" s="40"/>
      <c r="O175" s="43"/>
      <c r="P175" s="43"/>
      <c r="Q175" s="49"/>
      <c r="R175" s="49"/>
      <c r="S175" s="28"/>
      <c r="T175" s="12"/>
      <c r="U175" s="3">
        <v>0</v>
      </c>
      <c r="V175" s="3">
        <v>0</v>
      </c>
      <c r="W175" s="12"/>
      <c r="X175" s="38">
        <v>0</v>
      </c>
      <c r="Y175" s="9"/>
      <c r="Z175" s="9"/>
      <c r="AA175" s="3"/>
    </row>
    <row r="176" spans="1:27" hidden="1" x14ac:dyDescent="0.25">
      <c r="A176" s="4"/>
      <c r="B176" s="20" t="s">
        <v>46</v>
      </c>
      <c r="C176" s="20" t="s">
        <v>28</v>
      </c>
      <c r="D176" s="2" t="s">
        <v>86</v>
      </c>
      <c r="E176" s="37" t="s">
        <v>18</v>
      </c>
      <c r="F176" s="7" t="s">
        <v>33</v>
      </c>
      <c r="G176" s="2" t="s">
        <v>51</v>
      </c>
      <c r="H176" s="7" t="s">
        <v>84</v>
      </c>
      <c r="I176" s="31"/>
      <c r="J176" s="31"/>
      <c r="K176" s="7"/>
      <c r="L176" s="7"/>
      <c r="M176" s="2" t="s">
        <v>24</v>
      </c>
      <c r="N176" s="40" t="s">
        <v>24</v>
      </c>
      <c r="O176" s="7" t="s">
        <v>24</v>
      </c>
      <c r="P176" s="7" t="s">
        <v>8</v>
      </c>
      <c r="Q176" s="7">
        <v>0</v>
      </c>
      <c r="R176" s="7">
        <v>0</v>
      </c>
      <c r="S176" s="28">
        <v>0</v>
      </c>
      <c r="T176" s="2"/>
      <c r="U176" s="3"/>
      <c r="W176" s="2"/>
      <c r="X176" s="38"/>
      <c r="Y176" s="2" t="s">
        <v>33</v>
      </c>
      <c r="AA176" s="3"/>
    </row>
    <row r="177" spans="1:27" hidden="1" x14ac:dyDescent="0.25">
      <c r="A177" s="4"/>
      <c r="B177" s="20" t="s">
        <v>46</v>
      </c>
      <c r="C177" s="20" t="s">
        <v>28</v>
      </c>
      <c r="D177" s="2"/>
      <c r="E177" s="37" t="s">
        <v>18</v>
      </c>
      <c r="F177" s="7" t="s">
        <v>34</v>
      </c>
      <c r="G177" s="2" t="s">
        <v>50</v>
      </c>
      <c r="H177" s="7" t="s">
        <v>84</v>
      </c>
      <c r="I177" s="31"/>
      <c r="J177" s="31"/>
      <c r="K177" s="7"/>
      <c r="L177" s="7"/>
      <c r="M177" s="2" t="s">
        <v>24</v>
      </c>
      <c r="N177" s="40" t="s">
        <v>24</v>
      </c>
      <c r="O177" s="7" t="s">
        <v>24</v>
      </c>
      <c r="P177" s="7"/>
      <c r="Q177" s="7"/>
      <c r="R177" s="7"/>
      <c r="S177" s="28"/>
      <c r="T177" s="2"/>
      <c r="U177" s="3"/>
      <c r="W177" s="2"/>
      <c r="X177" s="38"/>
      <c r="Y177" s="2" t="s">
        <v>18</v>
      </c>
      <c r="AA177" s="3"/>
    </row>
    <row r="178" spans="1:27" x14ac:dyDescent="0.25">
      <c r="A178" s="4"/>
      <c r="B178" s="20" t="s">
        <v>3</v>
      </c>
      <c r="D178" s="20" t="s">
        <v>23</v>
      </c>
      <c r="E178" s="37" t="s">
        <v>18</v>
      </c>
      <c r="F178" s="37" t="s">
        <v>33</v>
      </c>
      <c r="G178" s="20"/>
      <c r="H178" s="37"/>
      <c r="I178" s="55"/>
      <c r="J178" s="55"/>
      <c r="K178" s="37"/>
      <c r="L178" s="37"/>
      <c r="M178" s="20" t="s">
        <v>24</v>
      </c>
      <c r="N178" s="45"/>
      <c r="O178" s="37"/>
      <c r="P178" s="37"/>
      <c r="Q178" s="37"/>
      <c r="R178" s="37"/>
      <c r="S178" s="29"/>
      <c r="T178" s="20"/>
      <c r="U178" s="22"/>
      <c r="V178" s="22"/>
      <c r="W178" s="20"/>
      <c r="X178" s="44"/>
      <c r="Y178" s="20"/>
      <c r="Z178" s="20"/>
      <c r="AA178" s="3"/>
    </row>
    <row r="179" spans="1:27" x14ac:dyDescent="0.25">
      <c r="C179" s="59" t="s">
        <v>146</v>
      </c>
      <c r="E179" s="37"/>
      <c r="F179" s="37"/>
      <c r="H179" s="40"/>
      <c r="I179" s="31"/>
      <c r="J179" s="31"/>
      <c r="K179" s="40"/>
      <c r="L179" s="40"/>
      <c r="N179" s="40"/>
      <c r="O179" s="40"/>
      <c r="P179" s="7"/>
      <c r="Q179" s="31"/>
      <c r="R179" s="7"/>
      <c r="S179" s="3"/>
      <c r="T179" s="3"/>
      <c r="U179" s="3"/>
      <c r="X179" s="38"/>
    </row>
  </sheetData>
  <phoneticPr fontId="3" type="noConversion"/>
  <conditionalFormatting sqref="A2:B2 C2:C56 A3:A42 B3:B56 B57:C73">
    <cfRule type="cellIs" dxfId="13" priority="6" operator="equal">
      <formula>FALSE</formula>
    </cfRule>
    <cfRule type="cellIs" dxfId="12" priority="7" operator="equal">
      <formula>TRUE</formula>
    </cfRule>
  </conditionalFormatting>
  <conditionalFormatting sqref="F121 E122:E125 C132:D132 P132:X132 C136:D136 M136 H172:L172">
    <cfRule type="cellIs" dxfId="11" priority="26" operator="equal">
      <formula>"usdt"</formula>
    </cfRule>
  </conditionalFormatting>
  <conditionalFormatting sqref="F126:F179 Y126:Z179">
    <cfRule type="cellIs" dxfId="10" priority="18" operator="equal">
      <formula>"USDC"</formula>
    </cfRule>
    <cfRule type="cellIs" dxfId="9" priority="19" operator="equal">
      <formula>"usdt"</formula>
    </cfRule>
  </conditionalFormatting>
  <conditionalFormatting sqref="G153">
    <cfRule type="cellIs" dxfId="8" priority="22" operator="equal">
      <formula>"usdt"</formula>
    </cfRule>
  </conditionalFormatting>
  <conditionalFormatting sqref="G172:G173">
    <cfRule type="cellIs" dxfId="7" priority="20" operator="equal">
      <formula>"usdt"</formula>
    </cfRule>
  </conditionalFormatting>
  <conditionalFormatting sqref="H2:I42 H46:I51 K46:L51">
    <cfRule type="cellIs" dxfId="6" priority="5" operator="equal">
      <formula>"import"</formula>
    </cfRule>
  </conditionalFormatting>
  <conditionalFormatting sqref="K16:L17">
    <cfRule type="cellIs" dxfId="5" priority="3" operator="equal">
      <formula>"import"</formula>
    </cfRule>
  </conditionalFormatting>
  <conditionalFormatting sqref="O1:O121">
    <cfRule type="cellIs" dxfId="4" priority="1" operator="equal">
      <formula>FALSE</formula>
    </cfRule>
    <cfRule type="cellIs" dxfId="3" priority="2" operator="equal">
      <formula>TRUE</formula>
    </cfRule>
  </conditionalFormatting>
  <conditionalFormatting sqref="O172">
    <cfRule type="cellIs" dxfId="2" priority="16" operator="equal">
      <formula>"usdt"</formula>
    </cfRule>
  </conditionalFormatting>
  <conditionalFormatting sqref="AA136">
    <cfRule type="cellIs" dxfId="1" priority="23" operator="equal">
      <formula>"usdt"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070-4930-43CA-8CCB-326DB2A26EC1}">
  <sheetPr codeName="Sheet5"/>
  <dimension ref="A1:E35"/>
  <sheetViews>
    <sheetView zoomScaleNormal="100" workbookViewId="0">
      <selection activeCell="D29" sqref="D29"/>
    </sheetView>
  </sheetViews>
  <sheetFormatPr defaultRowHeight="14.25" x14ac:dyDescent="0.2"/>
  <cols>
    <col min="1" max="1" width="34.42578125" style="145" bestFit="1" customWidth="1"/>
    <col min="2" max="2" width="27.140625" style="145" customWidth="1"/>
    <col min="3" max="3" width="31.7109375" style="145" customWidth="1"/>
    <col min="4" max="4" width="42" style="145" customWidth="1"/>
    <col min="5" max="16384" width="9.140625" style="145"/>
  </cols>
  <sheetData>
    <row r="1" spans="1:5" x14ac:dyDescent="0.2">
      <c r="A1" s="145" t="s">
        <v>241</v>
      </c>
      <c r="B1" s="148" t="s">
        <v>240</v>
      </c>
      <c r="C1" s="148" t="s">
        <v>306</v>
      </c>
      <c r="D1" s="148" t="s">
        <v>305</v>
      </c>
    </row>
    <row r="2" spans="1:5" ht="15" x14ac:dyDescent="0.25">
      <c r="A2" s="161" t="s">
        <v>260</v>
      </c>
      <c r="B2" s="163" t="b">
        <v>1</v>
      </c>
      <c r="C2" s="149" t="b">
        <v>1</v>
      </c>
      <c r="D2" s="149" t="b">
        <v>0</v>
      </c>
      <c r="E2" s="147"/>
    </row>
    <row r="3" spans="1:5" ht="15" x14ac:dyDescent="0.25">
      <c r="A3" s="162" t="s">
        <v>242</v>
      </c>
      <c r="B3" s="163" t="s">
        <v>238</v>
      </c>
      <c r="C3" s="163" t="s">
        <v>238</v>
      </c>
      <c r="D3" s="163" t="s">
        <v>238</v>
      </c>
      <c r="E3" s="147"/>
    </row>
    <row r="4" spans="1:5" ht="15" x14ac:dyDescent="0.25">
      <c r="A4" s="162" t="s">
        <v>243</v>
      </c>
      <c r="B4" s="163" t="s">
        <v>238</v>
      </c>
      <c r="C4" s="163" t="s">
        <v>238</v>
      </c>
      <c r="D4" s="163" t="s">
        <v>258</v>
      </c>
      <c r="E4" s="147"/>
    </row>
    <row r="5" spans="1:5" ht="15" x14ac:dyDescent="0.25">
      <c r="A5" s="162" t="s">
        <v>244</v>
      </c>
      <c r="B5" s="163" t="s">
        <v>254</v>
      </c>
      <c r="C5" s="163" t="s">
        <v>307</v>
      </c>
      <c r="D5" s="163" t="str">
        <f ca="1">_xlfn.CONCAT("ETF_",D15,".csv")</f>
        <v>ETF_2026-08-26.csv</v>
      </c>
      <c r="E5" s="147"/>
    </row>
    <row r="6" spans="1:5" ht="15" x14ac:dyDescent="0.25">
      <c r="A6" s="162" t="s">
        <v>245</v>
      </c>
      <c r="B6" s="163" t="s">
        <v>255</v>
      </c>
      <c r="C6" s="163" t="s">
        <v>255</v>
      </c>
      <c r="D6" s="163" t="s">
        <v>238</v>
      </c>
      <c r="E6" s="147"/>
    </row>
    <row r="7" spans="1:5" ht="15" x14ac:dyDescent="0.25">
      <c r="A7" s="162" t="s">
        <v>246</v>
      </c>
      <c r="B7" s="163" t="s">
        <v>256</v>
      </c>
      <c r="C7" s="163" t="s">
        <v>256</v>
      </c>
      <c r="D7" s="163" t="s">
        <v>238</v>
      </c>
      <c r="E7" s="147"/>
    </row>
    <row r="8" spans="1:5" ht="15" x14ac:dyDescent="0.25">
      <c r="A8" s="162" t="s">
        <v>247</v>
      </c>
      <c r="B8" s="163" t="b">
        <v>1</v>
      </c>
      <c r="C8" s="163" t="b">
        <v>1</v>
      </c>
      <c r="D8" s="163" t="b">
        <v>0</v>
      </c>
      <c r="E8" s="147"/>
    </row>
    <row r="9" spans="1:5" ht="15" x14ac:dyDescent="0.25">
      <c r="A9" s="162" t="s">
        <v>248</v>
      </c>
      <c r="B9" s="164" t="b">
        <v>1</v>
      </c>
      <c r="C9" s="164" t="b">
        <v>1</v>
      </c>
      <c r="D9" s="163" t="b">
        <v>1</v>
      </c>
      <c r="E9" s="147"/>
    </row>
    <row r="10" spans="1:5" ht="15" x14ac:dyDescent="0.25">
      <c r="A10" s="162" t="s">
        <v>249</v>
      </c>
      <c r="B10" s="163" t="b">
        <v>0</v>
      </c>
      <c r="C10" s="163" t="b">
        <v>0</v>
      </c>
      <c r="D10" s="163" t="b">
        <v>0</v>
      </c>
      <c r="E10" s="147"/>
    </row>
    <row r="11" spans="1:5" ht="15" x14ac:dyDescent="0.25">
      <c r="A11" s="162" t="s">
        <v>250</v>
      </c>
      <c r="B11" s="163" t="b">
        <v>0</v>
      </c>
      <c r="C11" s="163" t="b">
        <v>0</v>
      </c>
      <c r="D11" s="163" t="s">
        <v>259</v>
      </c>
      <c r="E11" s="147"/>
    </row>
    <row r="12" spans="1:5" ht="15" x14ac:dyDescent="0.25">
      <c r="A12" s="162" t="s">
        <v>251</v>
      </c>
      <c r="B12" s="163" t="s">
        <v>252</v>
      </c>
      <c r="C12" s="163" t="s">
        <v>252</v>
      </c>
      <c r="D12" s="163" t="b">
        <v>0</v>
      </c>
      <c r="E12" s="147"/>
    </row>
    <row r="13" spans="1:5" s="150" customFormat="1" ht="15" x14ac:dyDescent="0.25">
      <c r="A13" s="162" t="s">
        <v>253</v>
      </c>
      <c r="B13" s="149">
        <v>30</v>
      </c>
      <c r="C13" s="149">
        <v>30</v>
      </c>
      <c r="D13" s="163">
        <f>15*60</f>
        <v>900</v>
      </c>
      <c r="E13" s="147"/>
    </row>
    <row r="14" spans="1:5" ht="15" thickBot="1" x14ac:dyDescent="0.25"/>
    <row r="15" spans="1:5" ht="15" thickBot="1" x14ac:dyDescent="0.25">
      <c r="D15" s="167" t="str">
        <f t="shared" ref="D15" ca="1" si="0">TEXT(TODAY(),"yyyy-mm-dd")</f>
        <v>2026-08-26</v>
      </c>
    </row>
    <row r="16" spans="1:5" ht="15" x14ac:dyDescent="0.2">
      <c r="A16" s="165" t="s">
        <v>308</v>
      </c>
    </row>
    <row r="17" spans="1:1" ht="15.75" thickBot="1" x14ac:dyDescent="0.25">
      <c r="A17" s="166" t="s">
        <v>261</v>
      </c>
    </row>
    <row r="25" spans="1:1" s="151" customFormat="1" x14ac:dyDescent="0.2"/>
    <row r="35" spans="1:2" x14ac:dyDescent="0.2">
      <c r="A35" s="146"/>
      <c r="B35" s="147"/>
    </row>
  </sheetData>
  <phoneticPr fontId="3" type="noConversion"/>
  <conditionalFormatting sqref="B2:D2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D6F9-8EEF-4AEB-9A0C-4C38E8E5BED4}">
  <sheetPr codeName="Sheet6"/>
  <dimension ref="A1:L48"/>
  <sheetViews>
    <sheetView workbookViewId="0">
      <selection activeCell="M36" sqref="M36"/>
    </sheetView>
  </sheetViews>
  <sheetFormatPr defaultRowHeight="15" x14ac:dyDescent="0.25"/>
  <cols>
    <col min="1" max="1" width="18.28515625" bestFit="1" customWidth="1"/>
    <col min="2" max="2" width="16.42578125" bestFit="1" customWidth="1"/>
    <col min="3" max="3" width="10" style="181" bestFit="1" customWidth="1"/>
    <col min="4" max="4" width="12.42578125" style="156" customWidth="1"/>
    <col min="5" max="5" width="11.5703125" style="209" bestFit="1" customWidth="1"/>
    <col min="6" max="6" width="27.5703125" style="158" bestFit="1" customWidth="1"/>
    <col min="7" max="8" width="15" style="158" bestFit="1" customWidth="1"/>
    <col min="9" max="9" width="16.85546875" style="159" bestFit="1" customWidth="1"/>
    <col min="10" max="10" width="21.28515625" style="155" bestFit="1" customWidth="1"/>
    <col min="11" max="11" width="20.140625" bestFit="1" customWidth="1"/>
  </cols>
  <sheetData>
    <row r="1" spans="1:11" ht="15" customHeight="1" x14ac:dyDescent="0.25">
      <c r="A1" t="s">
        <v>309</v>
      </c>
      <c r="B1" s="155" t="s">
        <v>310</v>
      </c>
      <c r="C1" s="14" t="s">
        <v>219</v>
      </c>
      <c r="D1" s="152" t="s">
        <v>296</v>
      </c>
      <c r="E1" s="152" t="s">
        <v>295</v>
      </c>
      <c r="F1" s="208" t="s">
        <v>311</v>
      </c>
      <c r="G1" s="152" t="s">
        <v>427</v>
      </c>
      <c r="H1" s="152" t="s">
        <v>428</v>
      </c>
      <c r="I1" s="154" t="s">
        <v>429</v>
      </c>
      <c r="J1" s="153" t="s">
        <v>297</v>
      </c>
      <c r="K1" t="s">
        <v>314</v>
      </c>
    </row>
    <row r="2" spans="1:11" x14ac:dyDescent="0.25">
      <c r="A2" t="s">
        <v>400</v>
      </c>
      <c r="B2" s="155" t="s">
        <v>317</v>
      </c>
      <c r="C2" s="14" t="s">
        <v>266</v>
      </c>
      <c r="D2" s="157">
        <v>2.9999999999999997E-4</v>
      </c>
      <c r="E2" s="156"/>
      <c r="F2" s="155">
        <v>9160000</v>
      </c>
      <c r="G2" s="207">
        <v>0.33756999999999998</v>
      </c>
      <c r="H2" s="207">
        <v>0.33068999999999998</v>
      </c>
      <c r="I2" s="159">
        <v>0.33401199999999998</v>
      </c>
      <c r="J2" s="158">
        <v>46010</v>
      </c>
    </row>
    <row r="3" spans="1:11" x14ac:dyDescent="0.25">
      <c r="A3" t="s">
        <v>400</v>
      </c>
      <c r="B3" s="155" t="s">
        <v>299</v>
      </c>
      <c r="C3" s="14" t="s">
        <v>267</v>
      </c>
      <c r="D3" s="157">
        <v>2.9999999999999997E-4</v>
      </c>
      <c r="E3" s="156"/>
      <c r="F3" s="155">
        <v>8690000</v>
      </c>
      <c r="G3" s="207">
        <v>0.25155</v>
      </c>
      <c r="H3" s="207">
        <v>0.24446999999999999</v>
      </c>
      <c r="I3" s="159">
        <v>0.246638</v>
      </c>
      <c r="J3" s="158">
        <v>46009</v>
      </c>
    </row>
    <row r="4" spans="1:11" x14ac:dyDescent="0.25">
      <c r="A4" t="s">
        <v>400</v>
      </c>
      <c r="B4" s="155" t="s">
        <v>304</v>
      </c>
      <c r="C4" s="14" t="s">
        <v>272</v>
      </c>
      <c r="D4" s="157">
        <v>2.9999999999999997E-4</v>
      </c>
      <c r="E4" s="156"/>
      <c r="F4" s="155">
        <v>2140000</v>
      </c>
      <c r="G4" s="207">
        <v>8.7999999999999995E-2</v>
      </c>
      <c r="H4" s="207">
        <v>0.08</v>
      </c>
      <c r="I4" s="159">
        <v>7.6999999999999999E-2</v>
      </c>
      <c r="J4" s="158">
        <v>46010</v>
      </c>
    </row>
    <row r="5" spans="1:11" x14ac:dyDescent="0.25">
      <c r="A5" t="s">
        <v>400</v>
      </c>
      <c r="B5" s="155" t="s">
        <v>318</v>
      </c>
      <c r="C5" s="14" t="s">
        <v>274</v>
      </c>
      <c r="D5" s="157">
        <v>2.9999999999999997E-4</v>
      </c>
      <c r="E5" s="156"/>
      <c r="F5" s="155">
        <v>3320000</v>
      </c>
      <c r="G5" s="207">
        <v>8.8980000000000004E-2</v>
      </c>
      <c r="H5" s="207">
        <v>8.7480000000000002E-2</v>
      </c>
      <c r="I5" s="159">
        <v>9.1097999999999998E-2</v>
      </c>
      <c r="J5" s="158">
        <v>46009</v>
      </c>
    </row>
    <row r="6" spans="1:11" x14ac:dyDescent="0.25">
      <c r="A6" t="s">
        <v>407</v>
      </c>
      <c r="B6" s="155" t="s">
        <v>317</v>
      </c>
      <c r="C6" s="14" t="s">
        <v>281</v>
      </c>
      <c r="D6" s="157">
        <v>8.0000000000000004E-4</v>
      </c>
      <c r="E6" s="156"/>
      <c r="F6" s="155">
        <v>481000</v>
      </c>
      <c r="G6" s="207">
        <v>0.14026</v>
      </c>
      <c r="H6" s="207">
        <v>0.14266000000000001</v>
      </c>
      <c r="I6" s="159">
        <v>0.139651</v>
      </c>
      <c r="J6" s="160">
        <v>46010</v>
      </c>
    </row>
    <row r="7" spans="1:11" x14ac:dyDescent="0.25">
      <c r="A7" t="s">
        <v>407</v>
      </c>
      <c r="B7" s="155" t="s">
        <v>299</v>
      </c>
      <c r="C7" s="14" t="s">
        <v>289</v>
      </c>
      <c r="D7" s="157">
        <v>5.9999999999999995E-4</v>
      </c>
      <c r="E7" s="156"/>
      <c r="F7" s="155">
        <v>286000</v>
      </c>
      <c r="G7" s="207">
        <v>0.25640000000000002</v>
      </c>
      <c r="H7" s="207">
        <v>0.26240000000000002</v>
      </c>
      <c r="I7" s="159">
        <v>0.2626</v>
      </c>
      <c r="J7" s="160">
        <v>46015</v>
      </c>
    </row>
    <row r="8" spans="1:11" x14ac:dyDescent="0.25">
      <c r="A8" t="s">
        <v>402</v>
      </c>
      <c r="B8" s="155" t="s">
        <v>318</v>
      </c>
      <c r="C8" s="14" t="s">
        <v>222</v>
      </c>
      <c r="D8" s="157">
        <v>4.0000000000000001E-3</v>
      </c>
      <c r="E8" s="156"/>
      <c r="F8" s="155">
        <v>968000</v>
      </c>
      <c r="G8" s="207">
        <v>0.21054</v>
      </c>
      <c r="H8" s="207">
        <v>9.1050000000000006E-2</v>
      </c>
      <c r="I8" s="159">
        <v>0.16361100000000001</v>
      </c>
      <c r="J8" s="160">
        <v>46009</v>
      </c>
    </row>
    <row r="9" spans="1:11" x14ac:dyDescent="0.25">
      <c r="A9" t="s">
        <v>402</v>
      </c>
      <c r="B9" s="155" t="s">
        <v>317</v>
      </c>
      <c r="C9" s="14" t="s">
        <v>224</v>
      </c>
      <c r="D9" s="157">
        <v>2E-3</v>
      </c>
      <c r="E9" s="156"/>
      <c r="F9" s="155">
        <v>777000</v>
      </c>
      <c r="G9" s="207">
        <v>0.13896</v>
      </c>
      <c r="H9" s="207">
        <v>0.12010999999999999</v>
      </c>
      <c r="I9" s="159">
        <v>0.21784200000000001</v>
      </c>
      <c r="J9" s="160">
        <v>46010</v>
      </c>
    </row>
    <row r="10" spans="1:11" x14ac:dyDescent="0.25">
      <c r="A10" t="s">
        <v>406</v>
      </c>
      <c r="B10" s="155" t="s">
        <v>300</v>
      </c>
      <c r="C10" s="14" t="s">
        <v>263</v>
      </c>
      <c r="D10" s="202">
        <v>2E-3</v>
      </c>
      <c r="E10" s="156"/>
      <c r="F10" s="155">
        <v>107000</v>
      </c>
      <c r="G10" s="207">
        <v>0.43</v>
      </c>
      <c r="H10" s="207">
        <v>0.41</v>
      </c>
      <c r="I10" s="159">
        <v>0.42</v>
      </c>
      <c r="J10" s="158">
        <v>46022</v>
      </c>
    </row>
    <row r="11" spans="1:11" x14ac:dyDescent="0.25">
      <c r="A11" t="s">
        <v>406</v>
      </c>
      <c r="B11" s="155" t="s">
        <v>318</v>
      </c>
      <c r="C11" s="14" t="s">
        <v>277</v>
      </c>
      <c r="D11" s="157">
        <v>2.9999999999999997E-4</v>
      </c>
      <c r="E11" s="156"/>
      <c r="F11" s="155">
        <v>628000</v>
      </c>
      <c r="G11" s="207">
        <v>0.12334000000000001</v>
      </c>
      <c r="H11" s="207">
        <v>0.12291000000000001</v>
      </c>
      <c r="I11" s="159">
        <v>0.122505</v>
      </c>
      <c r="J11" s="158">
        <v>46009</v>
      </c>
    </row>
    <row r="12" spans="1:11" x14ac:dyDescent="0.25">
      <c r="A12" t="s">
        <v>406</v>
      </c>
      <c r="B12" s="155" t="s">
        <v>317</v>
      </c>
      <c r="C12" s="14" t="s">
        <v>265</v>
      </c>
      <c r="D12" s="157">
        <v>4.0000000000000002E-4</v>
      </c>
      <c r="E12" s="156"/>
      <c r="F12" s="155">
        <v>2460000</v>
      </c>
      <c r="G12" s="207">
        <v>0.20637</v>
      </c>
      <c r="H12" s="207">
        <v>0.20164000000000001</v>
      </c>
      <c r="I12" s="159">
        <v>0.20618</v>
      </c>
      <c r="J12" s="158">
        <v>46010</v>
      </c>
    </row>
    <row r="13" spans="1:11" x14ac:dyDescent="0.25">
      <c r="A13" t="s">
        <v>406</v>
      </c>
      <c r="B13" s="155" t="s">
        <v>299</v>
      </c>
      <c r="C13" s="14" t="s">
        <v>278</v>
      </c>
      <c r="D13" s="157">
        <v>2.9999999999999997E-4</v>
      </c>
      <c r="E13" s="156"/>
      <c r="F13" s="155">
        <v>104000</v>
      </c>
      <c r="G13" s="207">
        <v>0.32619999999999999</v>
      </c>
      <c r="H13" s="207">
        <v>0.316</v>
      </c>
      <c r="I13" s="159">
        <v>0.3105</v>
      </c>
      <c r="J13" s="158">
        <v>46009</v>
      </c>
    </row>
    <row r="14" spans="1:11" x14ac:dyDescent="0.25">
      <c r="A14" t="s">
        <v>411</v>
      </c>
      <c r="B14" s="155" t="s">
        <v>317</v>
      </c>
      <c r="C14" s="14" t="s">
        <v>282</v>
      </c>
      <c r="D14" s="157">
        <v>3.8999999999999998E-3</v>
      </c>
      <c r="E14" s="156"/>
      <c r="F14" s="155">
        <v>8170000</v>
      </c>
      <c r="G14" s="207">
        <v>0.41359000000000001</v>
      </c>
      <c r="H14" s="207">
        <v>0.3997</v>
      </c>
      <c r="I14" s="159">
        <v>0.38289299999999998</v>
      </c>
      <c r="J14" s="160">
        <v>46010</v>
      </c>
    </row>
    <row r="15" spans="1:11" x14ac:dyDescent="0.25">
      <c r="A15" t="s">
        <v>411</v>
      </c>
      <c r="B15" s="155" t="s">
        <v>299</v>
      </c>
      <c r="C15" s="14" t="s">
        <v>290</v>
      </c>
      <c r="D15" s="157">
        <v>1.5E-3</v>
      </c>
      <c r="E15" s="156"/>
      <c r="F15" s="155">
        <v>650000</v>
      </c>
      <c r="G15" s="207">
        <v>0.34660000000000002</v>
      </c>
      <c r="H15" s="207">
        <v>0.31369999999999998</v>
      </c>
      <c r="I15" s="159">
        <v>0.31519999999999998</v>
      </c>
      <c r="J15" s="160">
        <v>46009</v>
      </c>
    </row>
    <row r="16" spans="1:11" x14ac:dyDescent="0.25">
      <c r="A16" t="s">
        <v>399</v>
      </c>
      <c r="B16" s="155" t="s">
        <v>298</v>
      </c>
      <c r="C16" s="14" t="s">
        <v>221</v>
      </c>
      <c r="D16" s="157">
        <v>2.5000000000000001E-3</v>
      </c>
      <c r="E16" s="156"/>
      <c r="F16" s="155">
        <v>872000</v>
      </c>
      <c r="G16" s="207">
        <v>0.16839999999999999</v>
      </c>
      <c r="H16" s="207">
        <v>0.17100000000000001</v>
      </c>
      <c r="I16" s="159">
        <v>0.15989999999999999</v>
      </c>
      <c r="J16" s="160">
        <v>46020</v>
      </c>
    </row>
    <row r="17" spans="1:12" x14ac:dyDescent="0.25">
      <c r="A17" t="s">
        <v>399</v>
      </c>
      <c r="B17" s="155" t="s">
        <v>317</v>
      </c>
      <c r="C17" s="14" t="s">
        <v>223</v>
      </c>
      <c r="D17" s="157">
        <v>2.5000000000000001E-3</v>
      </c>
      <c r="E17" s="156"/>
      <c r="F17" s="155">
        <v>1120000</v>
      </c>
      <c r="G17" s="207">
        <v>0.14807000000000001</v>
      </c>
      <c r="H17" s="207">
        <v>0.14105000000000001</v>
      </c>
      <c r="I17" s="159">
        <v>0.14660500000000001</v>
      </c>
      <c r="J17" s="160">
        <v>46010</v>
      </c>
    </row>
    <row r="18" spans="1:12" x14ac:dyDescent="0.25">
      <c r="A18" t="s">
        <v>409</v>
      </c>
      <c r="B18" s="155" t="s">
        <v>317</v>
      </c>
      <c r="C18" s="14" t="s">
        <v>268</v>
      </c>
      <c r="D18" s="157">
        <v>4.8999999999999998E-3</v>
      </c>
      <c r="E18" s="156"/>
      <c r="F18" s="155">
        <v>41300000</v>
      </c>
      <c r="G18" s="207">
        <v>0.38429000000000002</v>
      </c>
      <c r="H18" s="207">
        <v>0.36879000000000001</v>
      </c>
      <c r="I18" s="159">
        <v>0.38062400000000002</v>
      </c>
      <c r="J18" s="158">
        <v>46010</v>
      </c>
    </row>
    <row r="19" spans="1:12" x14ac:dyDescent="0.25">
      <c r="A19" t="s">
        <v>409</v>
      </c>
      <c r="B19" s="155" t="s">
        <v>301</v>
      </c>
      <c r="C19" s="14" t="s">
        <v>269</v>
      </c>
      <c r="D19" s="157">
        <v>5.0000000000000001E-4</v>
      </c>
      <c r="E19" s="156"/>
      <c r="F19" s="155">
        <v>1530000</v>
      </c>
      <c r="G19" s="207">
        <v>0.20161999999999999</v>
      </c>
      <c r="H19" s="207">
        <v>0.19264999999999999</v>
      </c>
      <c r="I19" s="159">
        <v>0.20891000000000001</v>
      </c>
      <c r="J19" s="158">
        <v>46013</v>
      </c>
    </row>
    <row r="20" spans="1:12" x14ac:dyDescent="0.25">
      <c r="A20" t="s">
        <v>409</v>
      </c>
      <c r="B20" s="155" t="s">
        <v>318</v>
      </c>
      <c r="C20" s="14" t="s">
        <v>271</v>
      </c>
      <c r="D20" s="157">
        <v>4.0000000000000001E-3</v>
      </c>
      <c r="E20" s="156"/>
      <c r="F20" s="155">
        <v>2800000</v>
      </c>
      <c r="G20" s="207">
        <v>0.52717999999999998</v>
      </c>
      <c r="H20" s="207">
        <v>0.53078000000000003</v>
      </c>
      <c r="I20" s="159">
        <v>0.49054799999999998</v>
      </c>
      <c r="J20" s="158">
        <v>46009</v>
      </c>
    </row>
    <row r="21" spans="1:12" x14ac:dyDescent="0.25">
      <c r="A21" t="s">
        <v>409</v>
      </c>
      <c r="B21" s="155" t="s">
        <v>304</v>
      </c>
      <c r="C21" s="14" t="s">
        <v>273</v>
      </c>
      <c r="D21" s="157">
        <v>2.9999999999999997E-4</v>
      </c>
      <c r="E21" s="156"/>
      <c r="F21" s="155">
        <v>1180000</v>
      </c>
      <c r="G21" s="207">
        <v>0.1547</v>
      </c>
      <c r="H21" s="207">
        <v>0.1487</v>
      </c>
      <c r="I21" s="159">
        <v>0.14810000000000001</v>
      </c>
      <c r="J21" s="158">
        <v>46010</v>
      </c>
      <c r="L21" s="102"/>
    </row>
    <row r="22" spans="1:12" x14ac:dyDescent="0.25">
      <c r="A22" t="s">
        <v>409</v>
      </c>
      <c r="B22" s="155" t="s">
        <v>318</v>
      </c>
      <c r="C22" s="14" t="s">
        <v>275</v>
      </c>
      <c r="D22" s="157">
        <v>5.0000000000000001E-4</v>
      </c>
      <c r="E22" s="156"/>
      <c r="F22" s="155">
        <v>5830000</v>
      </c>
      <c r="G22" s="207">
        <v>0.13564999999999999</v>
      </c>
      <c r="H22" s="207">
        <v>0.13818</v>
      </c>
      <c r="I22" s="159">
        <v>0.140677</v>
      </c>
      <c r="J22" s="158">
        <v>46009</v>
      </c>
    </row>
    <row r="23" spans="1:12" x14ac:dyDescent="0.25">
      <c r="A23" t="s">
        <v>409</v>
      </c>
      <c r="B23" s="155" t="s">
        <v>317</v>
      </c>
      <c r="C23" s="14" t="s">
        <v>276</v>
      </c>
      <c r="D23" s="157">
        <v>8.0000000000000004E-4</v>
      </c>
      <c r="E23" s="156"/>
      <c r="F23" s="155">
        <v>13550000</v>
      </c>
      <c r="G23" s="207">
        <v>0.21290000000000001</v>
      </c>
      <c r="H23" s="207">
        <v>0.20629</v>
      </c>
      <c r="I23" s="159">
        <v>0.21210300000000001</v>
      </c>
      <c r="J23" s="158">
        <v>46010</v>
      </c>
    </row>
    <row r="24" spans="1:12" x14ac:dyDescent="0.25">
      <c r="A24" t="s">
        <v>415</v>
      </c>
      <c r="B24" s="155" t="s">
        <v>299</v>
      </c>
      <c r="C24" s="14" t="s">
        <v>279</v>
      </c>
      <c r="D24" s="157">
        <v>6.9999999999999999E-4</v>
      </c>
      <c r="E24" s="156"/>
      <c r="F24" s="155">
        <v>5160000</v>
      </c>
      <c r="G24" s="207">
        <v>0.11849999999999999</v>
      </c>
      <c r="H24" s="207">
        <v>0.11119999999999999</v>
      </c>
      <c r="I24" s="159">
        <v>0.96860000000000002</v>
      </c>
      <c r="J24" s="160">
        <v>46009</v>
      </c>
      <c r="L24" s="102"/>
    </row>
    <row r="25" spans="1:12" x14ac:dyDescent="0.25">
      <c r="A25" t="s">
        <v>415</v>
      </c>
      <c r="B25" s="155" t="s">
        <v>317</v>
      </c>
      <c r="C25" s="14" t="s">
        <v>284</v>
      </c>
      <c r="D25" s="157">
        <v>6.9999999999999999E-4</v>
      </c>
      <c r="E25" s="156"/>
      <c r="F25" s="155">
        <v>1540000</v>
      </c>
      <c r="G25" s="207">
        <v>0</v>
      </c>
      <c r="H25" s="207">
        <v>0.41535</v>
      </c>
      <c r="I25" s="159">
        <v>1.5387740000000001</v>
      </c>
      <c r="J25" s="160">
        <v>46010</v>
      </c>
    </row>
    <row r="26" spans="1:12" x14ac:dyDescent="0.25">
      <c r="A26" t="s">
        <v>412</v>
      </c>
      <c r="B26" s="155" t="s">
        <v>318</v>
      </c>
      <c r="C26" s="14" t="s">
        <v>280</v>
      </c>
      <c r="D26" s="157">
        <v>3.5000000000000001E-3</v>
      </c>
      <c r="E26" s="156"/>
      <c r="F26" s="155">
        <v>341000</v>
      </c>
      <c r="G26" s="207">
        <v>4.546E-2</v>
      </c>
      <c r="H26" s="207">
        <v>4.4130000000000003E-2</v>
      </c>
      <c r="I26" s="159">
        <v>0</v>
      </c>
      <c r="J26" s="160">
        <v>46009</v>
      </c>
    </row>
    <row r="27" spans="1:12" x14ac:dyDescent="0.25">
      <c r="A27" t="s">
        <v>412</v>
      </c>
      <c r="B27" s="155" t="s">
        <v>317</v>
      </c>
      <c r="C27" s="14" t="s">
        <v>285</v>
      </c>
      <c r="D27" s="157">
        <v>3.5000000000000001E-3</v>
      </c>
      <c r="E27" s="156"/>
      <c r="F27" s="155">
        <v>384000</v>
      </c>
      <c r="G27" s="207">
        <v>0</v>
      </c>
      <c r="H27" s="207">
        <v>0</v>
      </c>
      <c r="I27" s="159">
        <v>0.58702200000000004</v>
      </c>
      <c r="J27" s="160">
        <v>46010</v>
      </c>
    </row>
    <row r="28" spans="1:12" x14ac:dyDescent="0.25">
      <c r="A28" t="s">
        <v>408</v>
      </c>
      <c r="B28" s="155" t="s">
        <v>317</v>
      </c>
      <c r="C28" s="14" t="s">
        <v>225</v>
      </c>
      <c r="D28" s="157">
        <v>4.0000000000000002E-4</v>
      </c>
      <c r="E28" s="156"/>
      <c r="F28" s="155">
        <v>1850000</v>
      </c>
      <c r="G28" s="207">
        <v>0.20477999999999999</v>
      </c>
      <c r="H28" s="207">
        <v>0.21489</v>
      </c>
      <c r="I28" s="159">
        <v>0.21740999999999999</v>
      </c>
      <c r="J28" s="158">
        <v>46010</v>
      </c>
    </row>
    <row r="29" spans="1:12" x14ac:dyDescent="0.25">
      <c r="A29" t="s">
        <v>408</v>
      </c>
      <c r="B29" s="155" t="s">
        <v>318</v>
      </c>
      <c r="C29" s="14" t="s">
        <v>229</v>
      </c>
      <c r="D29" s="157">
        <v>4.0000000000000002E-4</v>
      </c>
      <c r="E29" s="156"/>
      <c r="F29" s="155">
        <v>4040000</v>
      </c>
      <c r="G29" s="207">
        <v>0.10152</v>
      </c>
      <c r="H29" s="207">
        <v>0.10116</v>
      </c>
      <c r="I29" s="159">
        <v>9.6627000000000005E-2</v>
      </c>
      <c r="J29" s="158">
        <v>46009</v>
      </c>
    </row>
    <row r="30" spans="1:12" x14ac:dyDescent="0.25">
      <c r="A30" t="s">
        <v>408</v>
      </c>
      <c r="B30" s="155" t="s">
        <v>299</v>
      </c>
      <c r="C30" s="14" t="s">
        <v>234</v>
      </c>
      <c r="D30" s="157">
        <v>2.9999999999999997E-4</v>
      </c>
      <c r="E30" s="156"/>
      <c r="F30" s="155">
        <v>5330000</v>
      </c>
      <c r="G30" s="207">
        <v>0.35020000000000001</v>
      </c>
      <c r="H30" s="207">
        <v>0.3422</v>
      </c>
      <c r="I30" s="159">
        <v>0.34920000000000001</v>
      </c>
      <c r="J30" s="158">
        <v>46009</v>
      </c>
    </row>
    <row r="31" spans="1:12" x14ac:dyDescent="0.25">
      <c r="A31" t="s">
        <v>401</v>
      </c>
      <c r="B31" s="155" t="s">
        <v>304</v>
      </c>
      <c r="C31" s="14" t="s">
        <v>228</v>
      </c>
      <c r="D31" s="157">
        <v>2.9999999999999997E-4</v>
      </c>
      <c r="E31" s="156"/>
      <c r="F31" s="155">
        <v>760000</v>
      </c>
      <c r="G31" s="207">
        <v>0.127</v>
      </c>
      <c r="H31" s="207">
        <v>0.1085</v>
      </c>
      <c r="I31" s="159">
        <v>0.127</v>
      </c>
      <c r="J31" s="158">
        <v>46010</v>
      </c>
    </row>
    <row r="32" spans="1:12" x14ac:dyDescent="0.25">
      <c r="A32" t="s">
        <v>401</v>
      </c>
      <c r="B32" s="155" t="s">
        <v>318</v>
      </c>
      <c r="C32" s="14" t="s">
        <v>231</v>
      </c>
      <c r="D32" s="157">
        <v>2.9999999999999997E-4</v>
      </c>
      <c r="E32" s="156"/>
      <c r="F32" s="155">
        <v>6500000</v>
      </c>
      <c r="G32" s="207">
        <v>9.3149999999999997E-2</v>
      </c>
      <c r="H32" s="207">
        <v>8.9810000000000001E-2</v>
      </c>
      <c r="I32" s="159">
        <v>9.2302999999999996E-2</v>
      </c>
      <c r="J32" s="158">
        <v>46009</v>
      </c>
    </row>
    <row r="33" spans="1:11" x14ac:dyDescent="0.25">
      <c r="A33" t="s">
        <v>401</v>
      </c>
      <c r="B33" s="155" t="s">
        <v>299</v>
      </c>
      <c r="C33" s="14" t="s">
        <v>235</v>
      </c>
      <c r="D33" s="157">
        <v>2.9999999999999997E-4</v>
      </c>
      <c r="E33" s="156"/>
      <c r="F33" s="155">
        <v>3000000</v>
      </c>
      <c r="G33" s="207">
        <v>0.2145</v>
      </c>
      <c r="H33" s="207">
        <v>0.20760000000000001</v>
      </c>
      <c r="I33" s="159">
        <v>0.214</v>
      </c>
      <c r="J33" s="158">
        <v>46009</v>
      </c>
    </row>
    <row r="34" spans="1:11" x14ac:dyDescent="0.25">
      <c r="A34" t="s">
        <v>403</v>
      </c>
      <c r="B34" s="155" t="s">
        <v>317</v>
      </c>
      <c r="C34" s="14" t="s">
        <v>226</v>
      </c>
      <c r="D34" s="157">
        <v>4.0000000000000002E-4</v>
      </c>
      <c r="E34" s="156"/>
      <c r="F34" s="155">
        <v>2490000</v>
      </c>
      <c r="G34" s="207">
        <v>0.34133999999999998</v>
      </c>
      <c r="H34" s="207">
        <v>0.33732000000000001</v>
      </c>
      <c r="I34" s="159">
        <v>0.33404800000000001</v>
      </c>
      <c r="J34" s="158">
        <v>46010</v>
      </c>
    </row>
    <row r="35" spans="1:11" x14ac:dyDescent="0.25">
      <c r="A35" t="s">
        <v>403</v>
      </c>
      <c r="B35" s="155" t="s">
        <v>318</v>
      </c>
      <c r="C35" s="14" t="s">
        <v>230</v>
      </c>
      <c r="D35" s="157">
        <v>4.0000000000000002E-4</v>
      </c>
      <c r="E35" s="156"/>
      <c r="F35" s="155">
        <v>1030000</v>
      </c>
      <c r="G35" s="207">
        <v>7.1599999999999997E-2</v>
      </c>
      <c r="H35" s="207">
        <v>7.0730000000000001E-2</v>
      </c>
      <c r="I35" s="159">
        <v>0.14300099999999999</v>
      </c>
      <c r="J35" s="158">
        <v>46009</v>
      </c>
    </row>
    <row r="36" spans="1:11" x14ac:dyDescent="0.25">
      <c r="A36" t="s">
        <v>403</v>
      </c>
      <c r="B36" s="155" t="s">
        <v>299</v>
      </c>
      <c r="C36" s="14" t="s">
        <v>236</v>
      </c>
      <c r="D36" s="157">
        <v>2.9999999999999997E-4</v>
      </c>
      <c r="E36" s="156"/>
      <c r="F36" s="155">
        <v>1570000</v>
      </c>
      <c r="G36" s="207">
        <v>0.16800000000000001</v>
      </c>
      <c r="H36" s="207">
        <v>0.16450000000000001</v>
      </c>
      <c r="I36" s="159">
        <v>0.15989999999999999</v>
      </c>
      <c r="J36" s="158">
        <v>46009</v>
      </c>
    </row>
    <row r="37" spans="1:11" s="102" customFormat="1" x14ac:dyDescent="0.25">
      <c r="A37" t="s">
        <v>404</v>
      </c>
      <c r="B37" s="155" t="s">
        <v>317</v>
      </c>
      <c r="C37" s="14" t="s">
        <v>227</v>
      </c>
      <c r="D37" s="157">
        <v>5.0000000000000001E-4</v>
      </c>
      <c r="E37" s="156"/>
      <c r="F37" s="155">
        <v>3800000</v>
      </c>
      <c r="G37" s="207">
        <v>0.2863</v>
      </c>
      <c r="H37" s="207">
        <v>0.28858</v>
      </c>
      <c r="I37" s="159">
        <v>0.285497</v>
      </c>
      <c r="J37" s="158">
        <v>46010</v>
      </c>
      <c r="K37"/>
    </row>
    <row r="38" spans="1:11" x14ac:dyDescent="0.25">
      <c r="A38" t="s">
        <v>404</v>
      </c>
      <c r="B38" s="155" t="s">
        <v>318</v>
      </c>
      <c r="C38" s="14" t="s">
        <v>232</v>
      </c>
      <c r="D38" s="157">
        <v>2.9999999999999997E-4</v>
      </c>
      <c r="E38" s="156"/>
      <c r="F38" s="155">
        <v>469000</v>
      </c>
      <c r="G38" s="207">
        <v>0.1351</v>
      </c>
      <c r="H38" s="207">
        <v>0.13542999999999999</v>
      </c>
      <c r="I38" s="159">
        <v>0.13450899999999999</v>
      </c>
      <c r="J38" s="158">
        <v>46009</v>
      </c>
    </row>
    <row r="39" spans="1:11" x14ac:dyDescent="0.25">
      <c r="A39" t="s">
        <v>404</v>
      </c>
      <c r="B39" s="155" t="s">
        <v>299</v>
      </c>
      <c r="C39" s="14" t="s">
        <v>237</v>
      </c>
      <c r="D39" s="157">
        <v>2.9999999999999997E-4</v>
      </c>
      <c r="E39" s="156"/>
      <c r="F39" s="155">
        <v>7560000</v>
      </c>
      <c r="G39" s="207">
        <v>0.14149999999999999</v>
      </c>
      <c r="H39" s="207">
        <v>0.14199999999999999</v>
      </c>
      <c r="I39" s="159">
        <v>0.14169999999999999</v>
      </c>
      <c r="J39" s="158">
        <v>46009</v>
      </c>
    </row>
    <row r="40" spans="1:11" x14ac:dyDescent="0.25">
      <c r="A40" t="s">
        <v>405</v>
      </c>
      <c r="B40" s="155" t="s">
        <v>317</v>
      </c>
      <c r="C40" s="14" t="s">
        <v>286</v>
      </c>
      <c r="D40" s="157">
        <v>4.4999999999999997E-3</v>
      </c>
      <c r="E40" s="156"/>
      <c r="F40" s="155">
        <v>3230000</v>
      </c>
      <c r="G40" s="207">
        <v>0.14230999999999999</v>
      </c>
      <c r="H40" s="207">
        <v>0.14174</v>
      </c>
      <c r="I40" s="159">
        <v>6.5883999999999998E-2</v>
      </c>
      <c r="J40" s="160">
        <v>46010</v>
      </c>
    </row>
    <row r="41" spans="1:11" x14ac:dyDescent="0.25">
      <c r="A41" t="s">
        <v>405</v>
      </c>
      <c r="B41" s="155" t="s">
        <v>303</v>
      </c>
      <c r="C41" s="14" t="s">
        <v>287</v>
      </c>
      <c r="D41" s="157">
        <v>2.3E-3</v>
      </c>
      <c r="E41" s="156"/>
      <c r="F41" s="155">
        <v>651000</v>
      </c>
      <c r="G41" s="207">
        <v>0.1</v>
      </c>
      <c r="H41" s="207">
        <v>0.1</v>
      </c>
      <c r="I41" s="159">
        <v>0.1</v>
      </c>
      <c r="J41" s="160">
        <v>46021</v>
      </c>
    </row>
    <row r="42" spans="1:11" x14ac:dyDescent="0.25">
      <c r="B42" s="155"/>
      <c r="C42" s="14"/>
      <c r="D42" s="157"/>
      <c r="E42" s="155"/>
      <c r="F42" s="156"/>
      <c r="G42" s="156"/>
      <c r="H42" s="156"/>
      <c r="I42" s="160"/>
      <c r="J42" s="159"/>
    </row>
    <row r="43" spans="1:11" x14ac:dyDescent="0.25">
      <c r="B43" s="155"/>
      <c r="D43" s="157"/>
      <c r="F43" s="193"/>
      <c r="G43" s="193"/>
      <c r="H43" s="193"/>
      <c r="I43" s="158"/>
      <c r="J43" s="159"/>
      <c r="K43" s="159"/>
    </row>
    <row r="44" spans="1:11" x14ac:dyDescent="0.25">
      <c r="A44" s="194" t="s">
        <v>413</v>
      </c>
      <c r="B44" s="195" t="s">
        <v>298</v>
      </c>
      <c r="C44" s="196" t="s">
        <v>283</v>
      </c>
      <c r="D44" s="197">
        <v>3.0999999999999999E-3</v>
      </c>
      <c r="E44" s="195"/>
      <c r="F44" s="198"/>
      <c r="G44" s="198"/>
      <c r="H44" s="198"/>
      <c r="I44" s="199">
        <v>46020</v>
      </c>
      <c r="J44" s="200">
        <v>0.14000000000000001</v>
      </c>
      <c r="K44" s="201" t="s">
        <v>332</v>
      </c>
    </row>
    <row r="45" spans="1:11" x14ac:dyDescent="0.25">
      <c r="A45" s="194" t="s">
        <v>400</v>
      </c>
      <c r="B45" s="195" t="s">
        <v>317</v>
      </c>
      <c r="C45" s="196" t="s">
        <v>270</v>
      </c>
      <c r="D45" s="197">
        <v>5.9999999999999995E-4</v>
      </c>
      <c r="E45" s="195"/>
      <c r="F45" s="198"/>
      <c r="G45" s="198"/>
      <c r="H45" s="198"/>
      <c r="I45" s="199">
        <v>46010</v>
      </c>
      <c r="J45" s="200">
        <v>0.164775</v>
      </c>
      <c r="K45" s="201"/>
    </row>
    <row r="46" spans="1:11" x14ac:dyDescent="0.25">
      <c r="A46" s="194" t="s">
        <v>406</v>
      </c>
      <c r="B46" s="195" t="s">
        <v>317</v>
      </c>
      <c r="C46" s="196" t="s">
        <v>264</v>
      </c>
      <c r="D46" s="197">
        <v>1.4E-3</v>
      </c>
      <c r="E46" s="195"/>
      <c r="F46" s="198"/>
      <c r="G46" s="198"/>
      <c r="H46" s="198"/>
      <c r="I46" s="199">
        <v>46010</v>
      </c>
      <c r="J46" s="200">
        <v>0.43645800000000001</v>
      </c>
      <c r="K46" s="201"/>
    </row>
    <row r="47" spans="1:11" x14ac:dyDescent="0.25">
      <c r="A47" s="194" t="s">
        <v>411</v>
      </c>
      <c r="B47" s="195" t="s">
        <v>302</v>
      </c>
      <c r="C47" s="196" t="s">
        <v>288</v>
      </c>
      <c r="D47" s="197">
        <v>5.0000000000000001E-3</v>
      </c>
      <c r="E47" s="195"/>
      <c r="F47" s="198"/>
      <c r="G47" s="198"/>
      <c r="H47" s="198"/>
      <c r="I47" s="199">
        <v>46013</v>
      </c>
      <c r="J47" s="200">
        <v>0</v>
      </c>
      <c r="K47" s="201" t="s">
        <v>414</v>
      </c>
    </row>
    <row r="48" spans="1:11" x14ac:dyDescent="0.25">
      <c r="A48" s="194" t="s">
        <v>401</v>
      </c>
      <c r="B48" s="195" t="s">
        <v>317</v>
      </c>
      <c r="C48" s="196" t="s">
        <v>233</v>
      </c>
      <c r="D48" s="197">
        <v>1.5E-3</v>
      </c>
      <c r="E48" s="195"/>
      <c r="F48" s="198"/>
      <c r="G48" s="198"/>
      <c r="H48" s="198"/>
      <c r="I48" s="199">
        <v>46010</v>
      </c>
      <c r="J48" s="200">
        <v>0.34243699999999999</v>
      </c>
      <c r="K48" s="201" t="s">
        <v>410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A53E-80F7-47D1-B079-AFED01258E36}">
  <dimension ref="A1:AA70"/>
  <sheetViews>
    <sheetView tabSelected="1" workbookViewId="0">
      <selection activeCell="N34" sqref="N34"/>
    </sheetView>
  </sheetViews>
  <sheetFormatPr defaultColWidth="32" defaultRowHeight="15" x14ac:dyDescent="0.25"/>
  <cols>
    <col min="1" max="1" width="22.5703125" bestFit="1" customWidth="1"/>
    <col min="2" max="2" width="11.42578125" bestFit="1" customWidth="1"/>
    <col min="3" max="3" width="12.28515625" bestFit="1" customWidth="1"/>
    <col min="4" max="4" width="12.42578125" bestFit="1" customWidth="1"/>
    <col min="5" max="5" width="12" bestFit="1" customWidth="1"/>
    <col min="6" max="6" width="27.140625" bestFit="1" customWidth="1"/>
    <col min="7" max="8" width="15" bestFit="1" customWidth="1"/>
    <col min="9" max="9" width="13.42578125" style="2" bestFit="1" customWidth="1"/>
    <col min="10" max="10" width="16.140625" style="2" bestFit="1" customWidth="1"/>
    <col min="11" max="11" width="39.28515625" bestFit="1" customWidth="1"/>
    <col min="12" max="12" width="4.85546875" bestFit="1" customWidth="1"/>
    <col min="13" max="13" width="2" bestFit="1" customWidth="1"/>
    <col min="14" max="14" width="23.42578125" style="14" bestFit="1" customWidth="1"/>
    <col min="15" max="15" width="18.85546875" style="2" bestFit="1" customWidth="1"/>
    <col min="16" max="16" width="7.7109375" style="2" bestFit="1" customWidth="1"/>
    <col min="17" max="17" width="11.7109375" style="2" bestFit="1" customWidth="1"/>
    <col min="18" max="18" width="9.28515625" style="2" bestFit="1" customWidth="1"/>
    <col min="19" max="19" width="26.28515625" style="2" bestFit="1" customWidth="1"/>
    <col min="20" max="20" width="13.85546875" bestFit="1" customWidth="1"/>
    <col min="21" max="21" width="6.140625" bestFit="1" customWidth="1"/>
    <col min="22" max="22" width="4.5703125" bestFit="1" customWidth="1"/>
    <col min="23" max="23" width="4" bestFit="1" customWidth="1"/>
  </cols>
  <sheetData>
    <row r="1" spans="1:27" ht="15" customHeight="1" x14ac:dyDescent="0.25">
      <c r="A1" s="171" t="s">
        <v>309</v>
      </c>
      <c r="B1" s="171" t="s">
        <v>310</v>
      </c>
      <c r="C1" s="171" t="s">
        <v>219</v>
      </c>
      <c r="D1" s="152" t="s">
        <v>296</v>
      </c>
      <c r="E1" s="152" t="s">
        <v>295</v>
      </c>
      <c r="F1" s="171" t="s">
        <v>311</v>
      </c>
      <c r="G1" s="152" t="s">
        <v>430</v>
      </c>
      <c r="H1" s="152" t="s">
        <v>431</v>
      </c>
      <c r="I1" s="171" t="s">
        <v>312</v>
      </c>
      <c r="J1" s="171" t="s">
        <v>313</v>
      </c>
      <c r="K1" s="171" t="s">
        <v>314</v>
      </c>
      <c r="N1" s="172" t="s">
        <v>315</v>
      </c>
      <c r="O1" s="1" t="s">
        <v>316</v>
      </c>
      <c r="P1" s="1" t="s">
        <v>317</v>
      </c>
      <c r="Q1" s="1" t="s">
        <v>318</v>
      </c>
      <c r="R1" s="1" t="s">
        <v>299</v>
      </c>
      <c r="S1" s="1" t="s">
        <v>426</v>
      </c>
    </row>
    <row r="2" spans="1:27" ht="15" customHeight="1" x14ac:dyDescent="0.25">
      <c r="A2" s="176" t="s">
        <v>342</v>
      </c>
      <c r="B2" s="176" t="s">
        <v>316</v>
      </c>
      <c r="C2" s="174" t="s">
        <v>327</v>
      </c>
      <c r="D2" s="212">
        <v>8.0000000000000004E-4</v>
      </c>
      <c r="E2" s="174"/>
      <c r="F2" s="179">
        <v>121983</v>
      </c>
      <c r="G2" s="213">
        <v>0.29599999999999999</v>
      </c>
      <c r="H2" s="213">
        <v>0.28999999999999998</v>
      </c>
      <c r="I2" s="178">
        <v>18</v>
      </c>
      <c r="J2" s="178">
        <v>18</v>
      </c>
      <c r="M2">
        <v>1</v>
      </c>
      <c r="N2" s="180" t="s">
        <v>319</v>
      </c>
      <c r="O2" s="173" t="s">
        <v>320</v>
      </c>
      <c r="P2" s="173" t="s">
        <v>322</v>
      </c>
      <c r="Q2" s="173" t="s">
        <v>323</v>
      </c>
      <c r="R2" s="173" t="s">
        <v>324</v>
      </c>
      <c r="T2" s="174" t="s">
        <v>325</v>
      </c>
      <c r="U2" s="175">
        <v>2.4899999999999999E-2</v>
      </c>
      <c r="V2" s="174">
        <v>1.74</v>
      </c>
      <c r="W2" s="176">
        <v>320</v>
      </c>
    </row>
    <row r="3" spans="1:27" ht="15" customHeight="1" x14ac:dyDescent="0.25">
      <c r="A3" s="176" t="s">
        <v>342</v>
      </c>
      <c r="B3" s="176" t="s">
        <v>299</v>
      </c>
      <c r="C3" s="174" t="s">
        <v>330</v>
      </c>
      <c r="D3" s="212">
        <v>8.9999999999999998E-4</v>
      </c>
      <c r="E3" s="174"/>
      <c r="F3" s="179">
        <v>159020</v>
      </c>
      <c r="G3" s="213">
        <v>1.2239</v>
      </c>
      <c r="H3" s="213">
        <v>1.2169000000000001</v>
      </c>
      <c r="I3" s="178">
        <v>24</v>
      </c>
      <c r="J3" s="178">
        <v>17</v>
      </c>
      <c r="M3">
        <f>M2+1</f>
        <v>2</v>
      </c>
      <c r="N3" s="14" t="s">
        <v>342</v>
      </c>
      <c r="O3" s="177" t="s">
        <v>327</v>
      </c>
      <c r="P3" s="173" t="s">
        <v>328</v>
      </c>
      <c r="Q3" s="177" t="s">
        <v>329</v>
      </c>
      <c r="R3" s="177" t="s">
        <v>330</v>
      </c>
      <c r="S3" s="2" t="s">
        <v>418</v>
      </c>
      <c r="T3" s="174" t="s">
        <v>331</v>
      </c>
      <c r="U3" s="175">
        <v>3.2199999999999999E-2</v>
      </c>
      <c r="V3" s="174">
        <v>1.7</v>
      </c>
      <c r="W3" s="176">
        <v>297</v>
      </c>
    </row>
    <row r="4" spans="1:27" ht="15" customHeight="1" x14ac:dyDescent="0.25">
      <c r="A4" s="176" t="s">
        <v>342</v>
      </c>
      <c r="B4" s="176" t="s">
        <v>318</v>
      </c>
      <c r="C4" s="174" t="s">
        <v>329</v>
      </c>
      <c r="D4" s="212">
        <v>8.0000000000000004E-4</v>
      </c>
      <c r="E4" s="174"/>
      <c r="F4" s="179">
        <v>11437698</v>
      </c>
      <c r="G4" s="213">
        <v>0.57418999999999998</v>
      </c>
      <c r="H4" s="213">
        <v>0.45490000000000003</v>
      </c>
      <c r="I4" s="178">
        <v>21</v>
      </c>
      <c r="J4" s="178">
        <v>21</v>
      </c>
      <c r="M4">
        <f t="shared" ref="M4:M10" si="0">M3+1</f>
        <v>3</v>
      </c>
      <c r="N4" s="14" t="s">
        <v>361</v>
      </c>
      <c r="O4" s="177" t="s">
        <v>333</v>
      </c>
      <c r="P4" s="177" t="s">
        <v>334</v>
      </c>
      <c r="Q4" s="177" t="s">
        <v>335</v>
      </c>
      <c r="R4" s="177" t="s">
        <v>336</v>
      </c>
      <c r="S4" s="2" t="s">
        <v>419</v>
      </c>
    </row>
    <row r="5" spans="1:27" ht="15" customHeight="1" x14ac:dyDescent="0.25">
      <c r="A5" s="176" t="s">
        <v>361</v>
      </c>
      <c r="B5" s="176" t="s">
        <v>316</v>
      </c>
      <c r="C5" s="174" t="s">
        <v>333</v>
      </c>
      <c r="D5" s="212">
        <v>8.0000000000000004E-4</v>
      </c>
      <c r="E5" s="174"/>
      <c r="F5" s="179">
        <v>1506663</v>
      </c>
      <c r="G5" s="213">
        <v>0.21</v>
      </c>
      <c r="H5" s="213">
        <v>0.187</v>
      </c>
      <c r="I5" s="178">
        <v>18</v>
      </c>
      <c r="J5" s="178">
        <v>18</v>
      </c>
      <c r="M5">
        <f t="shared" si="0"/>
        <v>4</v>
      </c>
      <c r="N5" s="14" t="s">
        <v>367</v>
      </c>
      <c r="O5" s="173" t="s">
        <v>337</v>
      </c>
      <c r="P5" s="177" t="s">
        <v>338</v>
      </c>
      <c r="Q5" s="177" t="s">
        <v>339</v>
      </c>
      <c r="R5" s="177" t="s">
        <v>340</v>
      </c>
      <c r="S5" s="2" t="s">
        <v>420</v>
      </c>
      <c r="T5" s="174" t="s">
        <v>341</v>
      </c>
      <c r="U5" s="175">
        <v>2.92E-2</v>
      </c>
      <c r="V5" s="174">
        <v>1.89</v>
      </c>
      <c r="W5" s="176">
        <v>331</v>
      </c>
    </row>
    <row r="6" spans="1:27" ht="15" customHeight="1" x14ac:dyDescent="0.25">
      <c r="A6" s="176" t="s">
        <v>361</v>
      </c>
      <c r="B6" s="176" t="s">
        <v>317</v>
      </c>
      <c r="C6" s="174" t="s">
        <v>334</v>
      </c>
      <c r="D6" s="212">
        <v>3.8E-3</v>
      </c>
      <c r="E6" s="174"/>
      <c r="F6" s="179">
        <v>1125625</v>
      </c>
      <c r="G6" s="213">
        <v>0.30908999999999998</v>
      </c>
      <c r="H6" s="213">
        <v>0.30672700000000003</v>
      </c>
      <c r="I6" s="178">
        <v>15</v>
      </c>
      <c r="J6" s="178">
        <v>15</v>
      </c>
      <c r="M6">
        <f t="shared" si="0"/>
        <v>5</v>
      </c>
      <c r="N6" s="14" t="s">
        <v>368</v>
      </c>
      <c r="O6" s="177" t="s">
        <v>343</v>
      </c>
      <c r="P6" s="177" t="s">
        <v>344</v>
      </c>
      <c r="Q6" s="177" t="s">
        <v>345</v>
      </c>
      <c r="R6" s="177" t="s">
        <v>346</v>
      </c>
      <c r="S6" s="2" t="s">
        <v>421</v>
      </c>
    </row>
    <row r="7" spans="1:27" ht="15" customHeight="1" x14ac:dyDescent="0.25">
      <c r="A7" s="176" t="s">
        <v>361</v>
      </c>
      <c r="B7" s="176" t="s">
        <v>299</v>
      </c>
      <c r="C7" s="174" t="s">
        <v>336</v>
      </c>
      <c r="D7" s="212">
        <v>8.9999999999999998E-4</v>
      </c>
      <c r="E7" s="174"/>
      <c r="F7" s="179">
        <v>630430</v>
      </c>
      <c r="G7" s="213">
        <v>1.0321</v>
      </c>
      <c r="H7" s="213">
        <v>0.96889999999999998</v>
      </c>
      <c r="I7" s="178">
        <v>24</v>
      </c>
      <c r="J7" s="178">
        <v>17</v>
      </c>
      <c r="M7">
        <f t="shared" si="0"/>
        <v>6</v>
      </c>
      <c r="N7" s="14" t="s">
        <v>369</v>
      </c>
      <c r="O7" s="177" t="s">
        <v>348</v>
      </c>
      <c r="P7" s="173" t="s">
        <v>349</v>
      </c>
      <c r="Q7" s="177" t="s">
        <v>350</v>
      </c>
      <c r="R7" s="173" t="s">
        <v>351</v>
      </c>
      <c r="S7" s="2" t="s">
        <v>422</v>
      </c>
    </row>
    <row r="8" spans="1:27" ht="15" customHeight="1" x14ac:dyDescent="0.25">
      <c r="A8" s="176" t="s">
        <v>361</v>
      </c>
      <c r="B8" s="176" t="s">
        <v>318</v>
      </c>
      <c r="C8" s="174" t="s">
        <v>335</v>
      </c>
      <c r="D8" s="212">
        <v>8.0000000000000004E-4</v>
      </c>
      <c r="E8" s="174"/>
      <c r="F8" s="179">
        <v>31381123</v>
      </c>
      <c r="G8" s="213">
        <v>0.38488</v>
      </c>
      <c r="H8" s="213">
        <v>0.38518000000000002</v>
      </c>
      <c r="I8" s="178">
        <v>21</v>
      </c>
      <c r="J8" s="178">
        <v>21</v>
      </c>
      <c r="M8">
        <f t="shared" si="0"/>
        <v>7</v>
      </c>
      <c r="N8" s="14" t="s">
        <v>370</v>
      </c>
      <c r="O8" s="177" t="s">
        <v>352</v>
      </c>
      <c r="P8" s="177" t="s">
        <v>353</v>
      </c>
      <c r="Q8" s="177" t="s">
        <v>354</v>
      </c>
      <c r="R8" s="177" t="s">
        <v>355</v>
      </c>
      <c r="S8" s="2" t="s">
        <v>423</v>
      </c>
      <c r="T8" s="174" t="s">
        <v>356</v>
      </c>
      <c r="U8" s="175">
        <v>3.6700000000000003E-2</v>
      </c>
      <c r="V8" s="174">
        <v>2.04</v>
      </c>
      <c r="W8" s="176">
        <v>291</v>
      </c>
    </row>
    <row r="9" spans="1:27" ht="15" customHeight="1" x14ac:dyDescent="0.25">
      <c r="A9" s="176" t="s">
        <v>367</v>
      </c>
      <c r="B9" s="176" t="s">
        <v>317</v>
      </c>
      <c r="C9" s="174" t="s">
        <v>338</v>
      </c>
      <c r="D9" s="212">
        <v>3.8E-3</v>
      </c>
      <c r="E9" s="174"/>
      <c r="F9" s="179">
        <v>350665</v>
      </c>
      <c r="G9" s="213">
        <v>0.38038300000000003</v>
      </c>
      <c r="H9" s="213">
        <v>0.57623199999999997</v>
      </c>
      <c r="I9" s="178">
        <v>15</v>
      </c>
      <c r="J9" s="178">
        <v>15</v>
      </c>
      <c r="M9">
        <f t="shared" si="0"/>
        <v>8</v>
      </c>
      <c r="N9" s="14" t="s">
        <v>371</v>
      </c>
      <c r="O9" s="177" t="s">
        <v>357</v>
      </c>
      <c r="P9" s="177" t="s">
        <v>358</v>
      </c>
      <c r="Q9" s="177" t="s">
        <v>359</v>
      </c>
      <c r="R9" s="177" t="s">
        <v>360</v>
      </c>
      <c r="S9" s="2" t="s">
        <v>424</v>
      </c>
    </row>
    <row r="10" spans="1:27" ht="15" customHeight="1" x14ac:dyDescent="0.25">
      <c r="A10" s="176" t="s">
        <v>367</v>
      </c>
      <c r="B10" s="176" t="s">
        <v>299</v>
      </c>
      <c r="C10" s="174" t="s">
        <v>340</v>
      </c>
      <c r="D10" s="212">
        <v>8.9999999999999998E-4</v>
      </c>
      <c r="E10" s="174"/>
      <c r="F10" s="179">
        <v>550401</v>
      </c>
      <c r="G10" s="213">
        <v>0.85189999999999999</v>
      </c>
      <c r="H10" s="213">
        <v>0.37930000000000003</v>
      </c>
      <c r="I10" s="178">
        <v>24</v>
      </c>
      <c r="J10" s="178">
        <v>17</v>
      </c>
      <c r="M10">
        <f t="shared" si="0"/>
        <v>9</v>
      </c>
      <c r="N10" s="14" t="s">
        <v>372</v>
      </c>
      <c r="O10" s="177" t="s">
        <v>362</v>
      </c>
      <c r="P10" s="177" t="s">
        <v>363</v>
      </c>
      <c r="Q10" s="177" t="s">
        <v>364</v>
      </c>
      <c r="R10" s="177" t="s">
        <v>365</v>
      </c>
      <c r="S10" s="2" t="s">
        <v>425</v>
      </c>
      <c r="T10" s="174" t="s">
        <v>366</v>
      </c>
      <c r="U10" s="175">
        <v>4.0300000000000002E-2</v>
      </c>
      <c r="V10" s="174">
        <v>2.34</v>
      </c>
      <c r="W10" s="176">
        <v>327</v>
      </c>
    </row>
    <row r="11" spans="1:27" ht="15" customHeight="1" x14ac:dyDescent="0.25">
      <c r="A11" s="176" t="s">
        <v>367</v>
      </c>
      <c r="B11" s="176" t="s">
        <v>318</v>
      </c>
      <c r="C11" s="174" t="s">
        <v>339</v>
      </c>
      <c r="D11" s="212">
        <v>8.0000000000000004E-4</v>
      </c>
      <c r="E11" s="174"/>
      <c r="F11" s="179">
        <v>34195769</v>
      </c>
      <c r="G11" s="213">
        <v>0.18708</v>
      </c>
      <c r="H11" s="213">
        <v>0.25148999999999999</v>
      </c>
      <c r="I11" s="178">
        <v>21</v>
      </c>
      <c r="J11" s="178">
        <v>21</v>
      </c>
    </row>
    <row r="12" spans="1:27" ht="15" customHeight="1" x14ac:dyDescent="0.25">
      <c r="A12" s="176" t="s">
        <v>368</v>
      </c>
      <c r="B12" s="176" t="s">
        <v>316</v>
      </c>
      <c r="C12" s="174" t="s">
        <v>343</v>
      </c>
      <c r="D12" s="212">
        <v>8.0000000000000004E-4</v>
      </c>
      <c r="E12" s="174"/>
      <c r="F12" s="179">
        <v>213055</v>
      </c>
      <c r="G12" s="213">
        <v>0.26300000000000001</v>
      </c>
      <c r="H12" s="213">
        <v>0.22900000000000001</v>
      </c>
      <c r="I12" s="178">
        <v>18</v>
      </c>
      <c r="J12" s="178">
        <v>18</v>
      </c>
    </row>
    <row r="13" spans="1:27" ht="15" customHeight="1" x14ac:dyDescent="0.25">
      <c r="A13" s="176" t="s">
        <v>368</v>
      </c>
      <c r="B13" s="176" t="s">
        <v>317</v>
      </c>
      <c r="C13" s="174" t="s">
        <v>344</v>
      </c>
      <c r="D13" s="212">
        <v>3.8E-3</v>
      </c>
      <c r="E13" s="174"/>
      <c r="F13" s="179">
        <v>820641</v>
      </c>
      <c r="G13" s="213">
        <v>0.16336000000000001</v>
      </c>
      <c r="H13" s="213">
        <v>0.19481999999999999</v>
      </c>
      <c r="I13" s="178">
        <v>15</v>
      </c>
      <c r="J13" s="178">
        <v>15</v>
      </c>
    </row>
    <row r="14" spans="1:27" ht="15" customHeight="1" thickBot="1" x14ac:dyDescent="0.3">
      <c r="A14" s="176" t="s">
        <v>368</v>
      </c>
      <c r="B14" s="176" t="s">
        <v>299</v>
      </c>
      <c r="C14" s="174" t="s">
        <v>346</v>
      </c>
      <c r="D14" s="212">
        <v>8.9999999999999998E-4</v>
      </c>
      <c r="E14" s="174"/>
      <c r="F14" s="179">
        <v>254609</v>
      </c>
      <c r="G14" s="213">
        <v>0.98680000000000001</v>
      </c>
      <c r="H14" s="213">
        <v>0.99399999999999999</v>
      </c>
      <c r="I14" s="178">
        <v>24</v>
      </c>
      <c r="J14" s="178">
        <v>17</v>
      </c>
      <c r="U14" s="2"/>
      <c r="V14" s="2"/>
      <c r="W14" s="2"/>
      <c r="X14" s="2"/>
      <c r="Y14" s="2"/>
      <c r="Z14" s="2"/>
      <c r="AA14" s="2"/>
    </row>
    <row r="15" spans="1:27" ht="15" customHeight="1" x14ac:dyDescent="0.25">
      <c r="A15" s="176" t="s">
        <v>368</v>
      </c>
      <c r="B15" s="176" t="s">
        <v>318</v>
      </c>
      <c r="C15" s="174" t="s">
        <v>345</v>
      </c>
      <c r="D15" s="212">
        <v>8.0000000000000004E-4</v>
      </c>
      <c r="E15" s="174"/>
      <c r="F15" s="179">
        <v>10362046</v>
      </c>
      <c r="G15" s="213">
        <v>0.65625</v>
      </c>
      <c r="H15" s="213">
        <v>0.59467999999999999</v>
      </c>
      <c r="I15" s="178">
        <v>21</v>
      </c>
      <c r="J15" s="178">
        <v>21</v>
      </c>
      <c r="N15" s="188" t="s">
        <v>373</v>
      </c>
      <c r="O15" s="182" t="s">
        <v>374</v>
      </c>
      <c r="P15" s="182" t="s">
        <v>375</v>
      </c>
      <c r="Q15" s="182"/>
      <c r="R15" s="182"/>
      <c r="S15" s="183"/>
      <c r="U15" s="2"/>
      <c r="V15" s="2"/>
      <c r="W15" s="2"/>
      <c r="X15" s="2"/>
      <c r="Y15" s="2"/>
      <c r="Z15" s="2"/>
      <c r="AA15" s="2"/>
    </row>
    <row r="16" spans="1:27" ht="15" customHeight="1" x14ac:dyDescent="0.25">
      <c r="A16" s="176" t="s">
        <v>369</v>
      </c>
      <c r="B16" s="176" t="s">
        <v>316</v>
      </c>
      <c r="C16" s="174" t="s">
        <v>348</v>
      </c>
      <c r="D16" s="212">
        <v>8.0000000000000004E-4</v>
      </c>
      <c r="E16" s="174"/>
      <c r="F16" s="179">
        <v>104100</v>
      </c>
      <c r="G16" s="213">
        <v>0.21299999999999999</v>
      </c>
      <c r="H16" s="213">
        <v>0.26500000000000001</v>
      </c>
      <c r="I16" s="178">
        <v>18</v>
      </c>
      <c r="J16" s="178">
        <v>18</v>
      </c>
      <c r="N16" s="189" t="s">
        <v>376</v>
      </c>
      <c r="O16" s="184" t="s">
        <v>377</v>
      </c>
      <c r="P16" s="184" t="s">
        <v>378</v>
      </c>
      <c r="Q16" s="184"/>
      <c r="R16" s="184"/>
      <c r="S16" s="185"/>
      <c r="U16" s="2"/>
      <c r="V16" s="2"/>
      <c r="W16" s="2"/>
      <c r="X16" s="2"/>
      <c r="Y16" s="2"/>
      <c r="Z16" s="2"/>
      <c r="AA16" s="2"/>
    </row>
    <row r="17" spans="1:27" ht="15" customHeight="1" x14ac:dyDescent="0.25">
      <c r="A17" s="176" t="s">
        <v>369</v>
      </c>
      <c r="B17" s="176" t="s">
        <v>318</v>
      </c>
      <c r="C17" s="174" t="s">
        <v>350</v>
      </c>
      <c r="D17" s="212">
        <v>8.0000000000000004E-4</v>
      </c>
      <c r="E17" s="174"/>
      <c r="F17" s="179">
        <v>7052938</v>
      </c>
      <c r="G17" s="213">
        <v>0.44408999999999998</v>
      </c>
      <c r="H17" s="213">
        <v>0.45321</v>
      </c>
      <c r="I17" s="178">
        <v>21</v>
      </c>
      <c r="J17" s="178">
        <v>21</v>
      </c>
      <c r="N17" s="189" t="s">
        <v>379</v>
      </c>
      <c r="O17" s="184" t="s">
        <v>380</v>
      </c>
      <c r="P17" s="184" t="s">
        <v>381</v>
      </c>
      <c r="Q17" s="184" t="s">
        <v>382</v>
      </c>
      <c r="R17" s="184" t="s">
        <v>383</v>
      </c>
      <c r="S17" s="185" t="s">
        <v>384</v>
      </c>
      <c r="U17" s="2"/>
      <c r="V17" s="2"/>
      <c r="W17" s="2"/>
      <c r="X17" s="2"/>
      <c r="Y17" s="2"/>
      <c r="Z17" s="2"/>
      <c r="AA17" s="2"/>
    </row>
    <row r="18" spans="1:27" ht="15" customHeight="1" x14ac:dyDescent="0.25">
      <c r="A18" s="176" t="s">
        <v>370</v>
      </c>
      <c r="B18" s="176" t="s">
        <v>316</v>
      </c>
      <c r="C18" s="174" t="s">
        <v>352</v>
      </c>
      <c r="D18" s="212">
        <v>8.0000000000000004E-4</v>
      </c>
      <c r="E18" s="174"/>
      <c r="F18" s="179">
        <v>285845</v>
      </c>
      <c r="G18" s="213">
        <v>0.27300000000000002</v>
      </c>
      <c r="H18" s="213">
        <v>0.25</v>
      </c>
      <c r="I18" s="178">
        <v>18</v>
      </c>
      <c r="J18" s="178">
        <v>18</v>
      </c>
      <c r="N18" s="189" t="s">
        <v>385</v>
      </c>
      <c r="O18" s="184" t="s">
        <v>386</v>
      </c>
      <c r="P18" s="184" t="s">
        <v>387</v>
      </c>
      <c r="Q18" s="184"/>
      <c r="R18" s="184"/>
      <c r="S18" s="185"/>
      <c r="U18" s="2"/>
      <c r="V18" s="2"/>
      <c r="W18" s="2"/>
      <c r="X18" s="2"/>
      <c r="Y18" s="2"/>
      <c r="Z18" s="2"/>
      <c r="AA18" s="2"/>
    </row>
    <row r="19" spans="1:27" ht="15" customHeight="1" x14ac:dyDescent="0.25">
      <c r="A19" s="176" t="s">
        <v>370</v>
      </c>
      <c r="B19" s="176" t="s">
        <v>317</v>
      </c>
      <c r="C19" s="174" t="s">
        <v>353</v>
      </c>
      <c r="D19" s="212">
        <v>3.7000000000000002E-3</v>
      </c>
      <c r="E19" s="174"/>
      <c r="F19" s="179">
        <v>5531253</v>
      </c>
      <c r="G19" s="213">
        <v>0.51000999999999996</v>
      </c>
      <c r="H19" s="213">
        <v>0.27537</v>
      </c>
      <c r="I19" s="178">
        <v>15</v>
      </c>
      <c r="J19" s="178">
        <v>15</v>
      </c>
      <c r="N19" s="189" t="s">
        <v>388</v>
      </c>
      <c r="O19" s="184" t="s">
        <v>294</v>
      </c>
      <c r="P19" s="184" t="s">
        <v>293</v>
      </c>
      <c r="Q19" s="184" t="s">
        <v>389</v>
      </c>
      <c r="R19" s="184" t="s">
        <v>390</v>
      </c>
      <c r="S19" s="185"/>
      <c r="U19" s="2"/>
      <c r="V19" s="2"/>
      <c r="W19" s="2"/>
      <c r="X19" s="2"/>
      <c r="Y19" s="2"/>
      <c r="Z19" s="2"/>
      <c r="AA19" s="2"/>
    </row>
    <row r="20" spans="1:27" ht="15" customHeight="1" thickBot="1" x14ac:dyDescent="0.3">
      <c r="A20" s="176" t="s">
        <v>370</v>
      </c>
      <c r="B20" s="176" t="s">
        <v>299</v>
      </c>
      <c r="C20" s="174" t="s">
        <v>355</v>
      </c>
      <c r="D20" s="212">
        <v>1.2999999999999999E-3</v>
      </c>
      <c r="E20" s="174"/>
      <c r="F20" s="179">
        <v>3162147</v>
      </c>
      <c r="G20" s="213">
        <v>0.85540000000000005</v>
      </c>
      <c r="H20" s="213">
        <v>0.94569999999999999</v>
      </c>
      <c r="I20" s="178">
        <v>24</v>
      </c>
      <c r="J20" s="192">
        <v>22</v>
      </c>
      <c r="N20" s="190" t="s">
        <v>391</v>
      </c>
      <c r="O20" s="186"/>
      <c r="P20" s="186"/>
      <c r="Q20" s="186"/>
      <c r="R20" s="186"/>
      <c r="S20" s="187"/>
      <c r="U20" s="2"/>
      <c r="V20" s="2"/>
      <c r="W20" s="2"/>
      <c r="X20" s="2"/>
      <c r="Y20" s="2"/>
      <c r="Z20" s="2"/>
      <c r="AA20" s="2"/>
    </row>
    <row r="21" spans="1:27" ht="15" customHeight="1" x14ac:dyDescent="0.25">
      <c r="A21" s="176" t="s">
        <v>370</v>
      </c>
      <c r="B21" s="176" t="s">
        <v>318</v>
      </c>
      <c r="C21" s="174" t="s">
        <v>354</v>
      </c>
      <c r="D21" s="212">
        <v>8.0000000000000004E-4</v>
      </c>
      <c r="E21" s="174"/>
      <c r="F21" s="179">
        <v>5208804</v>
      </c>
      <c r="G21" s="213">
        <v>0.38114999999999999</v>
      </c>
      <c r="H21" s="213">
        <v>0.27106000000000002</v>
      </c>
      <c r="I21" s="178">
        <v>21</v>
      </c>
      <c r="J21" s="178">
        <v>21</v>
      </c>
      <c r="O21"/>
      <c r="P21"/>
      <c r="Q21"/>
      <c r="R21"/>
      <c r="S21"/>
      <c r="U21" s="2"/>
      <c r="V21" s="2"/>
      <c r="W21" s="2"/>
      <c r="X21" s="2"/>
      <c r="Y21" s="2"/>
      <c r="Z21" s="2"/>
      <c r="AA21" s="2"/>
    </row>
    <row r="22" spans="1:27" ht="15" customHeight="1" x14ac:dyDescent="0.25">
      <c r="A22" s="176" t="s">
        <v>371</v>
      </c>
      <c r="B22" s="176" t="s">
        <v>316</v>
      </c>
      <c r="C22" s="174" t="s">
        <v>357</v>
      </c>
      <c r="D22" s="212">
        <v>8.0000000000000004E-4</v>
      </c>
      <c r="E22" s="174"/>
      <c r="F22" s="179">
        <v>329290</v>
      </c>
      <c r="G22" s="213">
        <v>0.28899999999999998</v>
      </c>
      <c r="H22" s="213">
        <v>0.221</v>
      </c>
      <c r="I22" s="178">
        <v>18</v>
      </c>
      <c r="J22" s="178">
        <v>18</v>
      </c>
      <c r="O22"/>
      <c r="P22"/>
      <c r="Q22"/>
      <c r="R22"/>
      <c r="S22"/>
      <c r="T22" s="2"/>
      <c r="U22" s="2"/>
      <c r="V22" s="2"/>
      <c r="W22" s="2"/>
      <c r="X22" s="2"/>
      <c r="Y22" s="2"/>
      <c r="Z22" s="2"/>
      <c r="AA22" s="2"/>
    </row>
    <row r="23" spans="1:27" ht="15" customHeight="1" x14ac:dyDescent="0.25">
      <c r="A23" s="176" t="s">
        <v>371</v>
      </c>
      <c r="B23" s="176" t="s">
        <v>317</v>
      </c>
      <c r="C23" s="174" t="s">
        <v>358</v>
      </c>
      <c r="D23" s="212">
        <v>3.8E-3</v>
      </c>
      <c r="E23" s="174"/>
      <c r="F23" s="179">
        <v>635125</v>
      </c>
      <c r="G23" s="213">
        <v>7.1818999999999994E-2</v>
      </c>
      <c r="H23" s="213">
        <v>6.9825999999999999E-2</v>
      </c>
      <c r="I23" s="178">
        <v>15</v>
      </c>
      <c r="J23" s="178">
        <v>15</v>
      </c>
      <c r="O23"/>
      <c r="P23"/>
      <c r="Q23"/>
      <c r="R23"/>
      <c r="S23"/>
      <c r="T23" s="2"/>
      <c r="U23" s="2"/>
      <c r="V23" s="2"/>
      <c r="W23" s="2"/>
      <c r="X23" s="2"/>
      <c r="Y23" s="2"/>
      <c r="Z23" s="2"/>
      <c r="AA23" s="2"/>
    </row>
    <row r="24" spans="1:27" ht="15" customHeight="1" thickBot="1" x14ac:dyDescent="0.3">
      <c r="A24" s="176" t="s">
        <v>371</v>
      </c>
      <c r="B24" s="176" t="s">
        <v>299</v>
      </c>
      <c r="C24" s="174" t="s">
        <v>360</v>
      </c>
      <c r="D24" s="212">
        <v>8.9999999999999998E-4</v>
      </c>
      <c r="E24" s="174"/>
      <c r="F24" s="179">
        <v>4740666</v>
      </c>
      <c r="G24" s="213">
        <v>0.1384</v>
      </c>
      <c r="H24" s="213">
        <v>9.2975000000000002E-2</v>
      </c>
      <c r="I24" s="178">
        <v>24</v>
      </c>
      <c r="J24" s="178">
        <v>17</v>
      </c>
      <c r="Q24"/>
      <c r="R24"/>
      <c r="S24"/>
      <c r="T24" s="2"/>
      <c r="U24" s="2"/>
      <c r="V24" s="2"/>
      <c r="W24" s="2"/>
      <c r="X24" s="2"/>
      <c r="Y24" s="2"/>
      <c r="Z24" s="2"/>
      <c r="AA24" s="2"/>
    </row>
    <row r="25" spans="1:27" ht="15" customHeight="1" x14ac:dyDescent="0.25">
      <c r="A25" s="176" t="s">
        <v>371</v>
      </c>
      <c r="B25" s="176" t="s">
        <v>318</v>
      </c>
      <c r="C25" s="174" t="s">
        <v>359</v>
      </c>
      <c r="D25" s="212">
        <v>8.0000000000000004E-4</v>
      </c>
      <c r="E25" s="174"/>
      <c r="F25" s="179">
        <v>10731485</v>
      </c>
      <c r="G25" s="213">
        <v>0.22792000000000001</v>
      </c>
      <c r="H25" s="213">
        <v>0.16750999999999999</v>
      </c>
      <c r="I25" s="178">
        <v>21</v>
      </c>
      <c r="J25" s="178">
        <v>21</v>
      </c>
      <c r="N25" s="191" t="s">
        <v>392</v>
      </c>
      <c r="O25" s="182"/>
      <c r="P25" s="183"/>
      <c r="Q25"/>
      <c r="R25"/>
      <c r="S25"/>
      <c r="T25" s="2"/>
      <c r="U25" s="2"/>
      <c r="V25" s="2"/>
      <c r="W25" s="2"/>
      <c r="X25" s="2"/>
      <c r="Y25" s="2"/>
      <c r="Z25" s="2"/>
      <c r="AA25" s="2"/>
    </row>
    <row r="26" spans="1:27" ht="15" customHeight="1" x14ac:dyDescent="0.25">
      <c r="A26" s="176" t="s">
        <v>372</v>
      </c>
      <c r="B26" s="176" t="s">
        <v>316</v>
      </c>
      <c r="C26" s="174" t="s">
        <v>362</v>
      </c>
      <c r="D26" s="212">
        <v>8.0000000000000004E-4</v>
      </c>
      <c r="E26" s="174"/>
      <c r="F26" s="179">
        <v>364377</v>
      </c>
      <c r="G26" s="213">
        <v>0.40100000000000002</v>
      </c>
      <c r="H26" s="213">
        <v>0.38600000000000001</v>
      </c>
      <c r="I26" s="178">
        <v>18</v>
      </c>
      <c r="J26" s="178">
        <v>18</v>
      </c>
      <c r="N26" s="19" t="s">
        <v>393</v>
      </c>
      <c r="O26" s="184" t="s">
        <v>394</v>
      </c>
      <c r="P26" s="185"/>
      <c r="Q26"/>
      <c r="R26"/>
      <c r="S26"/>
    </row>
    <row r="27" spans="1:27" ht="15" customHeight="1" x14ac:dyDescent="0.25">
      <c r="A27" s="176" t="s">
        <v>372</v>
      </c>
      <c r="B27" s="176" t="s">
        <v>317</v>
      </c>
      <c r="C27" s="174" t="s">
        <v>363</v>
      </c>
      <c r="D27" s="212">
        <v>3.8E-3</v>
      </c>
      <c r="E27" s="174"/>
      <c r="F27" s="179">
        <v>129329</v>
      </c>
      <c r="G27" s="213">
        <v>0.63148800000000005</v>
      </c>
      <c r="H27" s="213">
        <v>0.62162899999999999</v>
      </c>
      <c r="I27" s="178">
        <v>15</v>
      </c>
      <c r="J27" s="178">
        <v>15</v>
      </c>
      <c r="N27" s="19" t="s">
        <v>395</v>
      </c>
      <c r="O27" s="184" t="s">
        <v>396</v>
      </c>
      <c r="P27" s="185"/>
      <c r="Q27"/>
      <c r="R27"/>
      <c r="S27"/>
    </row>
    <row r="28" spans="1:27" ht="15" customHeight="1" x14ac:dyDescent="0.25">
      <c r="A28" s="176" t="s">
        <v>372</v>
      </c>
      <c r="B28" s="176" t="s">
        <v>299</v>
      </c>
      <c r="C28" s="174" t="s">
        <v>365</v>
      </c>
      <c r="D28" s="212">
        <v>8.9999999999999998E-4</v>
      </c>
      <c r="E28" s="174"/>
      <c r="F28" s="179">
        <v>243700</v>
      </c>
      <c r="G28" s="213">
        <v>1.3008999999999999</v>
      </c>
      <c r="H28" s="213">
        <v>1.2768999999999999</v>
      </c>
      <c r="I28" s="178">
        <v>24</v>
      </c>
      <c r="J28" s="178">
        <v>17</v>
      </c>
      <c r="N28" s="19" t="s">
        <v>397</v>
      </c>
      <c r="O28" s="184" t="s">
        <v>398</v>
      </c>
      <c r="P28" s="185"/>
      <c r="Q28"/>
      <c r="R28"/>
      <c r="S28"/>
    </row>
    <row r="29" spans="1:27" ht="15" customHeight="1" thickBot="1" x14ac:dyDescent="0.3">
      <c r="A29" s="176" t="s">
        <v>372</v>
      </c>
      <c r="B29" s="176" t="s">
        <v>318</v>
      </c>
      <c r="C29" s="174" t="s">
        <v>364</v>
      </c>
      <c r="D29" s="212">
        <v>8.0000000000000004E-4</v>
      </c>
      <c r="E29" s="174"/>
      <c r="F29" s="179">
        <v>20027536</v>
      </c>
      <c r="G29" s="213">
        <v>0.28442000000000001</v>
      </c>
      <c r="H29" s="213">
        <v>0.30993999999999999</v>
      </c>
      <c r="I29" s="178">
        <v>21</v>
      </c>
      <c r="J29" s="178">
        <v>21</v>
      </c>
      <c r="N29" s="18" t="s">
        <v>416</v>
      </c>
      <c r="O29" s="186" t="s">
        <v>417</v>
      </c>
      <c r="P29" s="187"/>
      <c r="Q29"/>
      <c r="R29"/>
      <c r="S29"/>
    </row>
    <row r="30" spans="1:27" ht="15" customHeight="1" x14ac:dyDescent="0.25">
      <c r="A30" s="176"/>
      <c r="B30" s="176"/>
      <c r="C30" s="174"/>
      <c r="D30" s="174"/>
      <c r="E30" s="174"/>
      <c r="F30" s="210"/>
      <c r="G30" s="210"/>
      <c r="H30" s="210"/>
      <c r="I30" s="211"/>
      <c r="J30" s="211"/>
      <c r="K30" s="102"/>
      <c r="N30"/>
      <c r="O30"/>
      <c r="P30"/>
      <c r="Q30"/>
      <c r="R30"/>
      <c r="S30"/>
    </row>
    <row r="32" spans="1:27" ht="15" customHeight="1" x14ac:dyDescent="0.25">
      <c r="A32" s="214" t="s">
        <v>319</v>
      </c>
      <c r="B32" s="215" t="s">
        <v>316</v>
      </c>
      <c r="C32" s="216" t="s">
        <v>320</v>
      </c>
      <c r="D32" s="216"/>
      <c r="E32" s="216"/>
      <c r="F32" s="217">
        <v>85957</v>
      </c>
      <c r="G32" s="217"/>
      <c r="H32" s="217"/>
      <c r="I32" s="218">
        <v>18</v>
      </c>
      <c r="J32" s="218">
        <v>18</v>
      </c>
      <c r="K32" s="201" t="s">
        <v>321</v>
      </c>
    </row>
    <row r="33" spans="1:11" ht="15" customHeight="1" x14ac:dyDescent="0.25">
      <c r="A33" s="214" t="s">
        <v>319</v>
      </c>
      <c r="B33" s="215" t="s">
        <v>317</v>
      </c>
      <c r="C33" s="216" t="s">
        <v>322</v>
      </c>
      <c r="D33" s="216"/>
      <c r="E33" s="216"/>
      <c r="F33" s="217">
        <v>91200</v>
      </c>
      <c r="G33" s="217"/>
      <c r="H33" s="217"/>
      <c r="I33" s="218">
        <v>15</v>
      </c>
      <c r="J33" s="218">
        <v>15</v>
      </c>
      <c r="K33" s="201" t="s">
        <v>326</v>
      </c>
    </row>
    <row r="34" spans="1:11" ht="15" customHeight="1" x14ac:dyDescent="0.25">
      <c r="A34" s="214" t="s">
        <v>319</v>
      </c>
      <c r="B34" s="215" t="s">
        <v>318</v>
      </c>
      <c r="C34" s="216" t="s">
        <v>323</v>
      </c>
      <c r="D34" s="216"/>
      <c r="E34" s="216"/>
      <c r="F34" s="217">
        <v>7622971</v>
      </c>
      <c r="G34" s="217"/>
      <c r="H34" s="217"/>
      <c r="I34" s="218">
        <v>21</v>
      </c>
      <c r="J34" s="218">
        <v>21</v>
      </c>
      <c r="K34" s="201" t="s">
        <v>332</v>
      </c>
    </row>
    <row r="35" spans="1:11" ht="15" customHeight="1" x14ac:dyDescent="0.25">
      <c r="A35" s="214" t="s">
        <v>319</v>
      </c>
      <c r="B35" s="215" t="s">
        <v>299</v>
      </c>
      <c r="C35" s="216" t="s">
        <v>324</v>
      </c>
      <c r="D35" s="216"/>
      <c r="E35" s="216"/>
      <c r="F35" s="217">
        <v>56587</v>
      </c>
      <c r="G35" s="217"/>
      <c r="H35" s="217"/>
      <c r="I35" s="218">
        <v>24</v>
      </c>
      <c r="J35" s="218">
        <v>17</v>
      </c>
      <c r="K35" s="201" t="s">
        <v>321</v>
      </c>
    </row>
    <row r="36" spans="1:11" ht="15" customHeight="1" x14ac:dyDescent="0.25">
      <c r="A36" s="214" t="s">
        <v>342</v>
      </c>
      <c r="B36" s="215" t="s">
        <v>317</v>
      </c>
      <c r="C36" s="216" t="s">
        <v>328</v>
      </c>
      <c r="D36" s="216"/>
      <c r="E36" s="216"/>
      <c r="F36" s="217">
        <v>242123</v>
      </c>
      <c r="G36" s="217"/>
      <c r="H36" s="217"/>
      <c r="I36" s="218">
        <v>15</v>
      </c>
      <c r="J36" s="218">
        <v>15</v>
      </c>
      <c r="K36" s="201" t="s">
        <v>347</v>
      </c>
    </row>
    <row r="37" spans="1:11" ht="15" customHeight="1" x14ac:dyDescent="0.25">
      <c r="A37" s="214" t="s">
        <v>369</v>
      </c>
      <c r="B37" s="215" t="s">
        <v>317</v>
      </c>
      <c r="C37" s="216" t="s">
        <v>349</v>
      </c>
      <c r="D37" s="216"/>
      <c r="E37" s="216"/>
      <c r="F37" s="217">
        <v>76609</v>
      </c>
      <c r="G37" s="217"/>
      <c r="H37" s="217"/>
      <c r="I37" s="218">
        <v>15</v>
      </c>
      <c r="J37" s="218">
        <v>15</v>
      </c>
      <c r="K37" s="201" t="s">
        <v>321</v>
      </c>
    </row>
    <row r="38" spans="1:11" ht="15" customHeight="1" x14ac:dyDescent="0.25">
      <c r="A38" s="214" t="s">
        <v>369</v>
      </c>
      <c r="B38" s="215" t="s">
        <v>299</v>
      </c>
      <c r="C38" s="216" t="s">
        <v>351</v>
      </c>
      <c r="D38" s="216"/>
      <c r="E38" s="216"/>
      <c r="F38" s="217">
        <v>85377</v>
      </c>
      <c r="G38" s="217"/>
      <c r="H38" s="217"/>
      <c r="I38" s="218">
        <v>24</v>
      </c>
      <c r="J38" s="218">
        <v>17</v>
      </c>
      <c r="K38" s="201" t="s">
        <v>321</v>
      </c>
    </row>
    <row r="39" spans="1:11" ht="15" customHeight="1" x14ac:dyDescent="0.25">
      <c r="A39" s="214" t="s">
        <v>367</v>
      </c>
      <c r="B39" s="215" t="s">
        <v>316</v>
      </c>
      <c r="C39" s="216" t="s">
        <v>337</v>
      </c>
      <c r="D39" s="216"/>
      <c r="E39" s="216"/>
      <c r="F39" s="217">
        <v>99337</v>
      </c>
      <c r="G39" s="217"/>
      <c r="H39" s="217"/>
      <c r="I39" s="218">
        <v>18</v>
      </c>
      <c r="J39" s="218">
        <v>18</v>
      </c>
      <c r="K39" s="201" t="s">
        <v>321</v>
      </c>
    </row>
    <row r="42" spans="1:11" ht="15" customHeight="1" x14ac:dyDescent="0.25"/>
    <row r="43" spans="1:11" ht="15" customHeight="1" x14ac:dyDescent="0.25">
      <c r="D43" s="204"/>
      <c r="F43" s="203"/>
      <c r="G43" s="203"/>
    </row>
    <row r="44" spans="1:11" ht="15" customHeight="1" x14ac:dyDescent="0.25">
      <c r="D44" s="204"/>
      <c r="F44" s="203"/>
      <c r="G44" s="203"/>
    </row>
    <row r="45" spans="1:11" ht="15" customHeight="1" x14ac:dyDescent="0.25">
      <c r="D45" s="204"/>
      <c r="F45" s="203"/>
      <c r="G45" s="203"/>
    </row>
    <row r="46" spans="1:11" x14ac:dyDescent="0.25">
      <c r="D46" s="204"/>
      <c r="F46" s="203"/>
      <c r="G46" s="203"/>
    </row>
    <row r="47" spans="1:11" x14ac:dyDescent="0.25">
      <c r="D47" s="204"/>
      <c r="F47" s="203"/>
      <c r="G47" s="203"/>
    </row>
    <row r="48" spans="1:11" x14ac:dyDescent="0.25">
      <c r="D48" s="204"/>
      <c r="F48" s="203"/>
      <c r="G48" s="203"/>
    </row>
    <row r="49" spans="1:13" x14ac:dyDescent="0.25">
      <c r="D49" s="204"/>
      <c r="F49" s="203"/>
      <c r="G49" s="203"/>
    </row>
    <row r="50" spans="1:13" ht="15" customHeight="1" x14ac:dyDescent="0.25">
      <c r="A50" s="102"/>
      <c r="C50" s="102"/>
      <c r="D50" s="206"/>
      <c r="F50" s="205"/>
      <c r="G50" s="205"/>
      <c r="H50" s="102"/>
      <c r="I50" s="85"/>
      <c r="J50" s="85"/>
      <c r="K50" s="102"/>
      <c r="L50" s="102"/>
      <c r="M50" s="102"/>
    </row>
    <row r="51" spans="1:13" ht="15" customHeight="1" x14ac:dyDescent="0.25">
      <c r="A51" s="102"/>
      <c r="C51" s="102"/>
      <c r="D51" s="206"/>
      <c r="F51" s="205"/>
      <c r="G51" s="205"/>
      <c r="H51" s="102"/>
      <c r="I51" s="85"/>
      <c r="J51" s="85"/>
      <c r="K51" s="102"/>
      <c r="L51" s="102"/>
      <c r="M51" s="102"/>
    </row>
    <row r="52" spans="1:13" ht="15" customHeight="1" x14ac:dyDescent="0.25">
      <c r="A52" s="102"/>
      <c r="C52" s="102"/>
      <c r="D52" s="206"/>
      <c r="F52" s="205"/>
      <c r="G52" s="205"/>
      <c r="H52" s="102"/>
      <c r="I52" s="85"/>
      <c r="J52" s="85"/>
      <c r="K52" s="102"/>
      <c r="L52" s="102"/>
      <c r="M52" s="102"/>
    </row>
    <row r="53" spans="1:13" x14ac:dyDescent="0.25">
      <c r="D53" s="204"/>
      <c r="F53" s="203"/>
      <c r="G53" s="203"/>
    </row>
    <row r="54" spans="1:13" x14ac:dyDescent="0.25">
      <c r="D54" s="204"/>
      <c r="F54" s="203"/>
      <c r="G54" s="203"/>
    </row>
    <row r="55" spans="1:13" x14ac:dyDescent="0.25">
      <c r="D55" s="204"/>
      <c r="F55" s="203"/>
      <c r="G55" s="203"/>
    </row>
    <row r="56" spans="1:13" x14ac:dyDescent="0.25">
      <c r="D56" s="204"/>
      <c r="F56" s="203"/>
      <c r="G56" s="203"/>
    </row>
    <row r="57" spans="1:13" x14ac:dyDescent="0.25">
      <c r="D57" s="204"/>
      <c r="F57" s="203"/>
      <c r="G57" s="203"/>
    </row>
    <row r="58" spans="1:13" x14ac:dyDescent="0.25">
      <c r="D58" s="204"/>
      <c r="F58" s="203"/>
      <c r="G58" s="203"/>
    </row>
    <row r="59" spans="1:13" x14ac:dyDescent="0.25">
      <c r="D59" s="204"/>
      <c r="F59" s="203"/>
      <c r="G59" s="203"/>
    </row>
    <row r="60" spans="1:13" x14ac:dyDescent="0.25">
      <c r="D60" s="204"/>
      <c r="F60" s="203"/>
      <c r="G60" s="203"/>
    </row>
    <row r="61" spans="1:13" x14ac:dyDescent="0.25">
      <c r="D61" s="204"/>
      <c r="F61" s="203"/>
      <c r="G61" s="203"/>
    </row>
    <row r="62" spans="1:13" x14ac:dyDescent="0.25">
      <c r="D62" s="204"/>
      <c r="F62" s="203"/>
      <c r="G62" s="203"/>
    </row>
    <row r="63" spans="1:13" x14ac:dyDescent="0.25">
      <c r="D63" s="204"/>
      <c r="F63" s="203"/>
      <c r="G63" s="203"/>
    </row>
    <row r="64" spans="1:13" x14ac:dyDescent="0.25">
      <c r="D64" s="204"/>
      <c r="F64" s="203"/>
      <c r="G64" s="203"/>
    </row>
    <row r="65" spans="4:7" x14ac:dyDescent="0.25">
      <c r="D65" s="204"/>
      <c r="F65" s="203"/>
      <c r="G65" s="203"/>
    </row>
    <row r="66" spans="4:7" x14ac:dyDescent="0.25">
      <c r="D66" s="204"/>
      <c r="F66" s="203"/>
      <c r="G66" s="203"/>
    </row>
    <row r="67" spans="4:7" x14ac:dyDescent="0.25">
      <c r="D67" s="204"/>
      <c r="F67" s="203"/>
      <c r="G67" s="203"/>
    </row>
    <row r="68" spans="4:7" x14ac:dyDescent="0.25">
      <c r="D68" s="204"/>
      <c r="F68" s="203"/>
      <c r="G68" s="203"/>
    </row>
    <row r="69" spans="4:7" x14ac:dyDescent="0.25">
      <c r="D69" s="204"/>
      <c r="F69" s="203"/>
      <c r="G69" s="203"/>
    </row>
    <row r="70" spans="4:7" x14ac:dyDescent="0.25">
      <c r="D70" s="204"/>
      <c r="F70" s="203"/>
      <c r="G70" s="20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Venue Tables</vt:lpstr>
      <vt:lpstr>Static Data Table</vt:lpstr>
      <vt:lpstr>Mkt Data Streaming Inputs</vt:lpstr>
      <vt:lpstr>BOND ETFs</vt:lpstr>
      <vt:lpstr>SECTOR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cp:lastPrinted>2026-04-16T21:16:24Z</cp:lastPrinted>
  <dcterms:created xsi:type="dcterms:W3CDTF">2026-01-24T15:44:31Z</dcterms:created>
  <dcterms:modified xsi:type="dcterms:W3CDTF">2026-08-27T03:05:28Z</dcterms:modified>
</cp:coreProperties>
</file>